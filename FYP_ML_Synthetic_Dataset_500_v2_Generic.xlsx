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36ea24508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 Dataset" sheetId="1" r:id="R5612f63525bb42fe"/>
    <x:sheet xmlns:r="http://schemas.openxmlformats.org/officeDocument/2006/relationships" name="Labeling Framework" sheetId="2" r:id="R877cc608f2cb4b75"/>
    <x:sheet xmlns:r="http://schemas.openxmlformats.org/officeDocument/2006/relationships" name="Data Dictionary" sheetId="3" r:id="Rad57a2c9254f4a7b"/>
    <x:sheet xmlns:r="http://schemas.openxmlformats.org/officeDocument/2006/relationships" name="Risk Distribution" sheetId="4" r:id="R117d4a077b89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A8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14f17b67f4f4e" /><Relationship Type="http://schemas.openxmlformats.org/officeDocument/2006/relationships/theme" Target="/xl/theme/theme1.xml" Id="R03ef3e6f23744334" /><Relationship Type="http://schemas.openxmlformats.org/officeDocument/2006/relationships/sharedStrings" Target="/xl/sharedStrings.xml" Id="R7fecd0d9c3404045" /><Relationship Type="http://schemas.openxmlformats.org/officeDocument/2006/relationships/worksheet" Target="/xl/worksheets/sheet1.xml" Id="R5612f63525bb42fe" /><Relationship Type="http://schemas.openxmlformats.org/officeDocument/2006/relationships/worksheet" Target="/xl/worksheets/sheet2.xml" Id="R877cc608f2cb4b75" /><Relationship Type="http://schemas.openxmlformats.org/officeDocument/2006/relationships/worksheet" Target="/xl/worksheets/sheet3.xml" Id="Rad57a2c9254f4a7b" /><Relationship Type="http://schemas.openxmlformats.org/officeDocument/2006/relationships/worksheet" Target="/xl/worksheets/sheet4.xml" Id="R117d4a077b894f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7" hidden="0" customWidth="1"/>
    <x:col min="4" max="4" width="22" hidden="0" customWidth="1"/>
    <x:col min="5" max="5" width="20" hidden="0" customWidth="1"/>
    <x:col min="6" max="6" width="22" hidden="0" customWidth="1"/>
    <x:col min="7" max="7" width="24" hidden="0" customWidth="1"/>
    <x:col min="8" max="8" width="22" hidden="0" customWidth="1"/>
    <x:col min="9" max="9" width="21" hidden="0" customWidth="1"/>
    <x:col min="10" max="10" width="19" hidden="0" customWidth="1"/>
    <x:col min="11" max="11" width="22" hidden="0" customWidth="1"/>
    <x:col min="12" max="12" width="25" hidden="0" customWidth="1"/>
    <x:col min="13" max="13" width="24" hidden="0" customWidth="1"/>
    <x:col min="14" max="14" width="12" hidden="0" customWidth="1"/>
  </x:cols>
  <x:sheetData>
    <x:row r="1">
      <x:c r="A1" s="5" t="str">
        <x:v>Generic Synthetic ML Development Dataset — 500 Student Records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2" t="str">
        <x:v>Designed for variable assessment counts, variable chapter counts and variable coursework weightage. Risk Score is for label generation only and must not be used as an ML input.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9" t="str">
        <x:v>Student ID</x:v>
      </x:c>
      <x:c r="B3" s="19" t="str">
        <x:v>Number of Assessments</x:v>
      </x:c>
      <x:c r="C3" s="19" t="str">
        <x:v>Number of Chapters</x:v>
      </x:c>
      <x:c r="D3" s="19" t="str">
        <x:v>Coursework Performance %</x:v>
      </x:c>
      <x:c r="E3" s="19" t="str">
        <x:v>Assessment Average %</x:v>
      </x:c>
      <x:c r="F3" s="19" t="str">
        <x:v>Lowest Assessment Score %</x:v>
      </x:c>
      <x:c r="G3" s="19" t="str">
        <x:v>Assessment Score Std Dev %</x:v>
      </x:c>
      <x:c r="H3" s="19" t="str">
        <x:v>Average Chapter Score %</x:v>
      </x:c>
      <x:c r="I3" s="19" t="str">
        <x:v>Lowest Chapter Score %</x:v>
      </x:c>
      <x:c r="J3" s="19" t="str">
        <x:v>Weak Chapter Ratio %</x:v>
      </x:c>
      <x:c r="K3" s="19" t="str">
        <x:v>Chapter Score Std Dev %</x:v>
      </x:c>
      <x:c r="L3" s="19" t="str">
        <x:v>Label Noise (Development Only)</x:v>
      </x:c>
      <x:c r="M3" s="19" t="str">
        <x:v>Risk Score (Development Only)</x:v>
      </x:c>
      <x:c r="N3" s="19" t="str">
        <x:v>Risk Level</x:v>
      </x:c>
    </x:row>
    <x:row r="4">
      <x:c r="A4" t="str">
        <x:v>ML001</x:v>
      </x:c>
      <x:c r="B4" s="26" t="n">
        <x:v>7</x:v>
      </x:c>
      <x:c r="C4" s="26" t="n">
        <x:v>6</x:v>
      </x:c>
      <x:c r="D4" s="24" t="n">
        <x:v>58.99</x:v>
      </x:c>
      <x:c r="E4" s="24" t="n">
        <x:v>57.21</x:v>
      </x:c>
      <x:c r="F4" s="24" t="n">
        <x:v>47.41</x:v>
      </x:c>
      <x:c r="G4" s="24" t="n">
        <x:v>4.98</x:v>
      </x:c>
      <x:c r="H4" s="24" t="n">
        <x:v>66.91</x:v>
      </x:c>
      <x:c r="I4" s="24" t="n">
        <x:v>56.55</x:v>
      </x:c>
      <x:c r="J4" s="24" t="n">
        <x:v>0</x:v>
      </x:c>
      <x:c r="K4" s="24" t="n">
        <x:v>8.5</x:v>
      </x:c>
      <x:c r="L4" s="24" t="n">
        <x:v>-1.31</x:v>
      </x:c>
      <x:c r="M4" s="24" t="n">
        <x:f>0.35*(100-D4)+0.10*(100-E4)+0.20*(100-I4)+0.15*J4+0.10*G4+0.10*K4+L4</x:f>
        <x:v>27.360500000000005</x:v>
      </x:c>
      <x:c r="N4" t="str">
        <x:f>IF(M4&lt;27,"Low",IF(M4&lt;50,"Medium","High"))</x:f>
        <x:v>Medium</x:v>
      </x:c>
    </x:row>
    <x:row r="5">
      <x:c r="A5" t="str">
        <x:v>ML002</x:v>
      </x:c>
      <x:c r="B5" s="26" t="n">
        <x:v>8</x:v>
      </x:c>
      <x:c r="C5" s="26" t="n">
        <x:v>8</x:v>
      </x:c>
      <x:c r="D5" s="24" t="n">
        <x:v>60.7</x:v>
      </x:c>
      <x:c r="E5" s="24" t="n">
        <x:v>60.58</x:v>
      </x:c>
      <x:c r="F5" s="24" t="n">
        <x:v>53.7</x:v>
      </x:c>
      <x:c r="G5" s="24" t="n">
        <x:v>5.54</x:v>
      </x:c>
      <x:c r="H5" s="24" t="n">
        <x:v>57.62</x:v>
      </x:c>
      <x:c r="I5" s="24" t="n">
        <x:v>41.84</x:v>
      </x:c>
      <x:c r="J5" s="24" t="n">
        <x:v>25</x:v>
      </x:c>
      <x:c r="K5" s="24" t="n">
        <x:v>9.24</x:v>
      </x:c>
      <x:c r="L5" s="24" t="n">
        <x:v>2.82</x:v>
      </x:c>
      <x:c r="M5" s="24" t="n">
        <x:f>0.35*(100-D5)+0.10*(100-E5)+0.20*(100-I5)+0.15*J5+0.10*G5+0.10*K5+L5</x:f>
        <x:v>37.377</x:v>
      </x:c>
      <x:c r="N5" t="str">
        <x:f>IF(M5&lt;27,"Low",IF(M5&lt;50,"Medium","High"))</x:f>
        <x:v>Medium</x:v>
      </x:c>
    </x:row>
    <x:row r="6">
      <x:c r="A6" t="str">
        <x:v>ML003</x:v>
      </x:c>
      <x:c r="B6" s="26" t="n">
        <x:v>9</x:v>
      </x:c>
      <x:c r="C6" s="26" t="n">
        <x:v>9</x:v>
      </x:c>
      <x:c r="D6" s="24" t="n">
        <x:v>44.61</x:v>
      </x:c>
      <x:c r="E6" s="24" t="n">
        <x:v>48.49</x:v>
      </x:c>
      <x:c r="F6" s="24" t="n">
        <x:v>41.23</x:v>
      </x:c>
      <x:c r="G6" s="24" t="n">
        <x:v>5.57</x:v>
      </x:c>
      <x:c r="H6" s="24" t="n">
        <x:v>43.64</x:v>
      </x:c>
      <x:c r="I6" s="24" t="n">
        <x:v>10.93</x:v>
      </x:c>
      <x:c r="J6" s="24" t="n">
        <x:v>77.78</x:v>
      </x:c>
      <x:c r="K6" s="24" t="n">
        <x:v>16.38</x:v>
      </x:c>
      <x:c r="L6" s="24" t="n">
        <x:v>-3.2</x:v>
      </x:c>
      <x:c r="M6" s="24" t="n">
        <x:f>0.35*(100-D6)+0.10*(100-E6)+0.20*(100-I6)+0.15*J6+0.10*G6+0.10*K6+L6</x:f>
        <x:v>53.0135</x:v>
      </x:c>
      <x:c r="N6" t="str">
        <x:f>IF(M6&lt;27,"Low",IF(M6&lt;50,"Medium","High"))</x:f>
        <x:v>High</x:v>
      </x:c>
    </x:row>
    <x:row r="7">
      <x:c r="A7" t="str">
        <x:v>ML004</x:v>
      </x:c>
      <x:c r="B7" s="26" t="n">
        <x:v>8</x:v>
      </x:c>
      <x:c r="C7" s="26" t="n">
        <x:v>10</x:v>
      </x:c>
      <x:c r="D7" s="24" t="n">
        <x:v>66.35</x:v>
      </x:c>
      <x:c r="E7" s="24" t="n">
        <x:v>67.14</x:v>
      </x:c>
      <x:c r="F7" s="24" t="n">
        <x:v>57.48</x:v>
      </x:c>
      <x:c r="G7" s="24" t="n">
        <x:v>8.65</x:v>
      </x:c>
      <x:c r="H7" s="24" t="n">
        <x:v>60.31</x:v>
      </x:c>
      <x:c r="I7" s="24" t="n">
        <x:v>47.42</x:v>
      </x:c>
      <x:c r="J7" s="24" t="n">
        <x:v>10</x:v>
      </x:c>
      <x:c r="K7" s="24" t="n">
        <x:v>6.92</x:v>
      </x:c>
      <x:c r="L7" s="24" t="n">
        <x:v>-2.78</x:v>
      </x:c>
      <x:c r="M7" s="24" t="n">
        <x:f>0.35*(100-D7)+0.10*(100-E7)+0.20*(100-I7)+0.15*J7+0.10*G7+0.10*K7+L7</x:f>
        <x:v>25.8565</x:v>
      </x:c>
      <x:c r="N7" t="str">
        <x:f>IF(M7&lt;27,"Low",IF(M7&lt;50,"Medium","High"))</x:f>
        <x:v>Low</x:v>
      </x:c>
    </x:row>
    <x:row r="8">
      <x:c r="A8" t="str">
        <x:v>ML005</x:v>
      </x:c>
      <x:c r="B8" s="26" t="n">
        <x:v>4</x:v>
      </x:c>
      <x:c r="C8" s="26" t="n">
        <x:v>10</x:v>
      </x:c>
      <x:c r="D8" s="24" t="n">
        <x:v>75.64</x:v>
      </x:c>
      <x:c r="E8" s="24" t="n">
        <x:v>78.29</x:v>
      </x:c>
      <x:c r="F8" s="24" t="n">
        <x:v>69.5</x:v>
      </x:c>
      <x:c r="G8" s="24" t="n">
        <x:v>7.59</x:v>
      </x:c>
      <x:c r="H8" s="24" t="n">
        <x:v>75.9</x:v>
      </x:c>
      <x:c r="I8" s="24" t="n">
        <x:v>64.81</x:v>
      </x:c>
      <x:c r="J8" s="24" t="n">
        <x:v>0</x:v>
      </x:c>
      <x:c r="K8" s="24" t="n">
        <x:v>7.13</x:v>
      </x:c>
      <x:c r="L8" s="24" t="n">
        <x:v>-2.4</x:v>
      </x:c>
      <x:c r="M8" s="24" t="n">
        <x:f>0.35*(100-D8)+0.10*(100-E8)+0.20*(100-I8)+0.15*J8+0.10*G8+0.10*K8+L8</x:f>
        <x:v>16.807000000000002</x:v>
      </x:c>
      <x:c r="N8" t="str">
        <x:f>IF(M8&lt;27,"Low",IF(M8&lt;50,"Medium","High"))</x:f>
        <x:v>Low</x:v>
      </x:c>
    </x:row>
    <x:row r="9">
      <x:c r="A9" t="str">
        <x:v>ML006</x:v>
      </x:c>
      <x:c r="B9" s="26" t="n">
        <x:v>6</x:v>
      </x:c>
      <x:c r="C9" s="26" t="n">
        <x:v>4</x:v>
      </x:c>
      <x:c r="D9" s="24" t="n">
        <x:v>39.86</x:v>
      </x:c>
      <x:c r="E9" s="24" t="n">
        <x:v>39.42</x:v>
      </x:c>
      <x:c r="F9" s="24" t="n">
        <x:v>34.46</x:v>
      </x:c>
      <x:c r="G9" s="24" t="n">
        <x:v>6.02</x:v>
      </x:c>
      <x:c r="H9" s="24" t="n">
        <x:v>25.75</x:v>
      </x:c>
      <x:c r="I9" s="24" t="n">
        <x:v>14.45</x:v>
      </x:c>
      <x:c r="J9" s="24" t="n">
        <x:v>100</x:v>
      </x:c>
      <x:c r="K9" s="24" t="n">
        <x:v>6.83</x:v>
      </x:c>
      <x:c r="L9" s="24" t="n">
        <x:v>0</x:v>
      </x:c>
      <x:c r="M9" s="24" t="n">
        <x:f>0.35*(100-D9)+0.10*(100-E9)+0.20*(100-I9)+0.15*J9+0.10*G9+0.10*K9+L9</x:f>
        <x:v>60.501999999999995</x:v>
      </x:c>
      <x:c r="N9" t="str">
        <x:f>IF(M9&lt;27,"Low",IF(M9&lt;50,"Medium","High"))</x:f>
        <x:v>High</x:v>
      </x:c>
    </x:row>
    <x:row r="10">
      <x:c r="A10" t="str">
        <x:v>ML007</x:v>
      </x:c>
      <x:c r="B10" s="26" t="n">
        <x:v>9</x:v>
      </x:c>
      <x:c r="C10" s="26" t="n">
        <x:v>10</x:v>
      </x:c>
      <x:c r="D10" s="24" t="n">
        <x:v>45.03</x:v>
      </x:c>
      <x:c r="E10" s="24" t="n">
        <x:v>44.41</x:v>
      </x:c>
      <x:c r="F10" s="24" t="n">
        <x:v>30.36</x:v>
      </x:c>
      <x:c r="G10" s="24" t="n">
        <x:v>15.12</x:v>
      </x:c>
      <x:c r="H10" s="24" t="n">
        <x:v>37.21</x:v>
      </x:c>
      <x:c r="I10" s="24" t="n">
        <x:v>16.35</x:v>
      </x:c>
      <x:c r="J10" s="24" t="n">
        <x:v>100</x:v>
      </x:c>
      <x:c r="K10" s="24" t="n">
        <x:v>8.95</x:v>
      </x:c>
      <x:c r="L10" s="24" t="n">
        <x:v>2.63</x:v>
      </x:c>
      <x:c r="M10" s="24" t="n">
        <x:f>0.35*(100-D10)+0.10*(100-E10)+0.20*(100-I10)+0.15*J10+0.10*G10+0.10*K10+L10</x:f>
        <x:v>61.56550000000001</x:v>
      </x:c>
      <x:c r="N10" t="str">
        <x:f>IF(M10&lt;27,"Low",IF(M10&lt;50,"Medium","High"))</x:f>
        <x:v>High</x:v>
      </x:c>
    </x:row>
    <x:row r="11">
      <x:c r="A11" t="str">
        <x:v>ML008</x:v>
      </x:c>
      <x:c r="B11" s="26" t="n">
        <x:v>7</x:v>
      </x:c>
      <x:c r="C11" s="26" t="n">
        <x:v>6</x:v>
      </x:c>
      <x:c r="D11" s="24" t="n">
        <x:v>29.33</x:v>
      </x:c>
      <x:c r="E11" s="24" t="n">
        <x:v>30.25</x:v>
      </x:c>
      <x:c r="F11" s="24" t="n">
        <x:v>21.9</x:v>
      </x:c>
      <x:c r="G11" s="24" t="n">
        <x:v>9.14</x:v>
      </x:c>
      <x:c r="H11" s="24" t="n">
        <x:v>31.51</x:v>
      </x:c>
      <x:c r="I11" s="24" t="n">
        <x:v>4.93</x:v>
      </x:c>
      <x:c r="J11" s="24" t="n">
        <x:v>83.33</x:v>
      </x:c>
      <x:c r="K11" s="24" t="n">
        <x:v>17.42</x:v>
      </x:c>
      <x:c r="L11" s="24" t="n">
        <x:v>4.52</x:v>
      </x:c>
      <x:c r="M11" s="24" t="n">
        <x:f>0.35*(100-D11)+0.10*(100-E11)+0.20*(100-I11)+0.15*J11+0.10*G11+0.10*K11+L11</x:f>
        <x:v>70.399</x:v>
      </x:c>
      <x:c r="N11" t="str">
        <x:f>IF(M11&lt;27,"Low",IF(M11&lt;50,"Medium","High"))</x:f>
        <x:v>High</x:v>
      </x:c>
    </x:row>
    <x:row r="12">
      <x:c r="A12" t="str">
        <x:v>ML009</x:v>
      </x:c>
      <x:c r="B12" s="26" t="n">
        <x:v>8</x:v>
      </x:c>
      <x:c r="C12" s="26" t="n">
        <x:v>7</x:v>
      </x:c>
      <x:c r="D12" s="24" t="n">
        <x:v>87.34</x:v>
      </x:c>
      <x:c r="E12" s="24" t="n">
        <x:v>84.17</x:v>
      </x:c>
      <x:c r="F12" s="24" t="n">
        <x:v>71.87</x:v>
      </x:c>
      <x:c r="G12" s="24" t="n">
        <x:v>8.55</x:v>
      </x:c>
      <x:c r="H12" s="24" t="n">
        <x:v>71.84</x:v>
      </x:c>
      <x:c r="I12" s="24" t="n">
        <x:v>44.35</x:v>
      </x:c>
      <x:c r="J12" s="24" t="n">
        <x:v>14.29</x:v>
      </x:c>
      <x:c r="K12" s="24" t="n">
        <x:v>14.36</x:v>
      </x:c>
      <x:c r="L12" s="24" t="n">
        <x:v>5.31</x:v>
      </x:c>
      <x:c r="M12" s="24" t="n">
        <x:f>0.35*(100-D12)+0.10*(100-E12)+0.20*(100-I12)+0.15*J12+0.10*G12+0.10*K12+L12</x:f>
        <x:v>26.888499999999997</x:v>
      </x:c>
      <x:c r="N12" t="str">
        <x:f>IF(M12&lt;27,"Low",IF(M12&lt;50,"Medium","High"))</x:f>
        <x:v>Low</x:v>
      </x:c>
    </x:row>
    <x:row r="13">
      <x:c r="A13" t="str">
        <x:v>ML010</x:v>
      </x:c>
      <x:c r="B13" s="26" t="n">
        <x:v>9</x:v>
      </x:c>
      <x:c r="C13" s="26" t="n">
        <x:v>6</x:v>
      </x:c>
      <x:c r="D13" s="24" t="n">
        <x:v>70.32</x:v>
      </x:c>
      <x:c r="E13" s="24" t="n">
        <x:v>75.57</x:v>
      </x:c>
      <x:c r="F13" s="24" t="n">
        <x:v>65.55</x:v>
      </x:c>
      <x:c r="G13" s="24" t="n">
        <x:v>7.93</x:v>
      </x:c>
      <x:c r="H13" s="24" t="n">
        <x:v>74.21</x:v>
      </x:c>
      <x:c r="I13" s="24" t="n">
        <x:v>59.78</x:v>
      </x:c>
      <x:c r="J13" s="24" t="n">
        <x:v>0</x:v>
      </x:c>
      <x:c r="K13" s="24" t="n">
        <x:v>8.49</x:v>
      </x:c>
      <x:c r="L13" s="24" t="n">
        <x:v>-7.05</x:v>
      </x:c>
      <x:c r="M13" s="24" t="n">
        <x:f>0.35*(100-D13)+0.10*(100-E13)+0.20*(100-I13)+0.15*J13+0.10*G13+0.10*K13+L13</x:f>
        <x:v>15.467000000000002</x:v>
      </x:c>
      <x:c r="N13" t="str">
        <x:f>IF(M13&lt;27,"Low",IF(M13&lt;50,"Medium","High"))</x:f>
        <x:v>Low</x:v>
      </x:c>
    </x:row>
    <x:row r="14">
      <x:c r="A14" t="str">
        <x:v>ML011</x:v>
      </x:c>
      <x:c r="B14" s="26" t="n">
        <x:v>6</x:v>
      </x:c>
      <x:c r="C14" s="26" t="n">
        <x:v>5</x:v>
      </x:c>
      <x:c r="D14" s="24" t="n">
        <x:v>64.2</x:v>
      </x:c>
      <x:c r="E14" s="24" t="n">
        <x:v>68.21</x:v>
      </x:c>
      <x:c r="F14" s="24" t="n">
        <x:v>58.3</x:v>
      </x:c>
      <x:c r="G14" s="24" t="n">
        <x:v>6</x:v>
      </x:c>
      <x:c r="H14" s="24" t="n">
        <x:v>45.9</x:v>
      </x:c>
      <x:c r="I14" s="24" t="n">
        <x:v>25.45</x:v>
      </x:c>
      <x:c r="J14" s="24" t="n">
        <x:v>60</x:v>
      </x:c>
      <x:c r="K14" s="24" t="n">
        <x:v>13.93</x:v>
      </x:c>
      <x:c r="L14" s="24" t="n">
        <x:v>-3.49</x:v>
      </x:c>
      <x:c r="M14" s="24" t="n">
        <x:f>0.35*(100-D14)+0.10*(100-E14)+0.20*(100-I14)+0.15*J14+0.10*G14+0.10*K14+L14</x:f>
        <x:v>38.122</x:v>
      </x:c>
      <x:c r="N14" t="str">
        <x:f>IF(M14&lt;27,"Low",IF(M14&lt;50,"Medium","High"))</x:f>
        <x:v>Medium</x:v>
      </x:c>
    </x:row>
    <x:row r="15">
      <x:c r="A15" t="str">
        <x:v>ML012</x:v>
      </x:c>
      <x:c r="B15" s="26" t="n">
        <x:v>9</x:v>
      </x:c>
      <x:c r="C15" s="26" t="n">
        <x:v>6</x:v>
      </x:c>
      <x:c r="D15" s="24" t="n">
        <x:v>43.07</x:v>
      </x:c>
      <x:c r="E15" s="24" t="n">
        <x:v>41.58</x:v>
      </x:c>
      <x:c r="F15" s="24" t="n">
        <x:v>30.44</x:v>
      </x:c>
      <x:c r="G15" s="24" t="n">
        <x:v>6.92</x:v>
      </x:c>
      <x:c r="H15" s="24" t="n">
        <x:v>30.51</x:v>
      </x:c>
      <x:c r="I15" s="24" t="n">
        <x:v>16.27</x:v>
      </x:c>
      <x:c r="J15" s="24" t="n">
        <x:v>100</x:v>
      </x:c>
      <x:c r="K15" s="24" t="n">
        <x:v>8.91</x:v>
      </x:c>
      <x:c r="L15" s="24" t="n">
        <x:v>2.3</x:v>
      </x:c>
      <x:c r="M15" s="24" t="n">
        <x:f>0.35*(100-D15)+0.10*(100-E15)+0.20*(100-I15)+0.15*J15+0.10*G15+0.10*K15+L15</x:f>
        <x:v>61.396499999999996</x:v>
      </x:c>
      <x:c r="N15" t="str">
        <x:f>IF(M15&lt;27,"Low",IF(M15&lt;50,"Medium","High"))</x:f>
        <x:v>High</x:v>
      </x:c>
    </x:row>
    <x:row r="16">
      <x:c r="A16" t="str">
        <x:v>ML013</x:v>
      </x:c>
      <x:c r="B16" s="26" t="n">
        <x:v>9</x:v>
      </x:c>
      <x:c r="C16" s="26" t="n">
        <x:v>10</x:v>
      </x:c>
      <x:c r="D16" s="24" t="n">
        <x:v>65.95</x:v>
      </x:c>
      <x:c r="E16" s="24" t="n">
        <x:v>68.53</x:v>
      </x:c>
      <x:c r="F16" s="24" t="n">
        <x:v>56.96</x:v>
      </x:c>
      <x:c r="G16" s="24" t="n">
        <x:v>9.79</x:v>
      </x:c>
      <x:c r="H16" s="24" t="n">
        <x:v>63.91</x:v>
      </x:c>
      <x:c r="I16" s="24" t="n">
        <x:v>46.33</x:v>
      </x:c>
      <x:c r="J16" s="24" t="n">
        <x:v>10</x:v>
      </x:c>
      <x:c r="K16" s="24" t="n">
        <x:v>7.76</x:v>
      </x:c>
      <x:c r="L16" s="24" t="n">
        <x:v>-0.09</x:v>
      </x:c>
      <x:c r="M16" s="24" t="n">
        <x:f>0.35*(100-D16)+0.10*(100-E16)+0.20*(100-I16)+0.15*J16+0.10*G16+0.10*K16+L16</x:f>
        <x:v>28.9635</x:v>
      </x:c>
      <x:c r="N16" t="str">
        <x:f>IF(M16&lt;27,"Low",IF(M16&lt;50,"Medium","High"))</x:f>
        <x:v>Medium</x:v>
      </x:c>
    </x:row>
    <x:row r="17">
      <x:c r="A17" t="str">
        <x:v>ML014</x:v>
      </x:c>
      <x:c r="B17" s="26" t="n">
        <x:v>9</x:v>
      </x:c>
      <x:c r="C17" s="26" t="n">
        <x:v>10</x:v>
      </x:c>
      <x:c r="D17" s="24" t="n">
        <x:v>37.13</x:v>
      </x:c>
      <x:c r="E17" s="24" t="n">
        <x:v>38.02</x:v>
      </x:c>
      <x:c r="F17" s="24" t="n">
        <x:v>13.32</x:v>
      </x:c>
      <x:c r="G17" s="24" t="n">
        <x:v>11.91</x:v>
      </x:c>
      <x:c r="H17" s="24" t="n">
        <x:v>42.08</x:v>
      </x:c>
      <x:c r="I17" s="24" t="n">
        <x:v>27.69</x:v>
      </x:c>
      <x:c r="J17" s="24" t="n">
        <x:v>80</x:v>
      </x:c>
      <x:c r="K17" s="24" t="n">
        <x:v>7.98</x:v>
      </x:c>
      <x:c r="L17" s="24" t="n">
        <x:v>1.8</x:v>
      </x:c>
      <x:c r="M17" s="24" t="n">
        <x:f>0.35*(100-D17)+0.10*(100-E17)+0.20*(100-I17)+0.15*J17+0.10*G17+0.10*K17+L17</x:f>
        <x:v>58.4535</x:v>
      </x:c>
      <x:c r="N17" t="str">
        <x:f>IF(M17&lt;27,"Low",IF(M17&lt;50,"Medium","High"))</x:f>
        <x:v>High</x:v>
      </x:c>
    </x:row>
    <x:row r="18">
      <x:c r="A18" t="str">
        <x:v>ML015</x:v>
      </x:c>
      <x:c r="B18" s="26" t="n">
        <x:v>8</x:v>
      </x:c>
      <x:c r="C18" s="26" t="n">
        <x:v>7</x:v>
      </x:c>
      <x:c r="D18" s="24" t="n">
        <x:v>79.88</x:v>
      </x:c>
      <x:c r="E18" s="24" t="n">
        <x:v>76.8</x:v>
      </x:c>
      <x:c r="F18" s="24" t="n">
        <x:v>56.2</x:v>
      </x:c>
      <x:c r="G18" s="24" t="n">
        <x:v>11.43</x:v>
      </x:c>
      <x:c r="H18" s="24" t="n">
        <x:v>68.7</x:v>
      </x:c>
      <x:c r="I18" s="24" t="n">
        <x:v>42.26</x:v>
      </x:c>
      <x:c r="J18" s="24" t="n">
        <x:v>14.29</x:v>
      </x:c>
      <x:c r="K18" s="24" t="n">
        <x:v>12.72</x:v>
      </x:c>
      <x:c r="L18" s="24" t="n">
        <x:v>-2.33</x:v>
      </x:c>
      <x:c r="M18" s="24" t="n">
        <x:f>0.35*(100-D18)+0.10*(100-E18)+0.20*(100-I18)+0.15*J18+0.10*G18+0.10*K18+L18</x:f>
        <x:v>23.138500000000008</x:v>
      </x:c>
      <x:c r="N18" t="str">
        <x:f>IF(M18&lt;27,"Low",IF(M18&lt;50,"Medium","High"))</x:f>
        <x:v>Low</x:v>
      </x:c>
    </x:row>
    <x:row r="19">
      <x:c r="A19" t="str">
        <x:v>ML016</x:v>
      </x:c>
      <x:c r="B19" s="26" t="n">
        <x:v>9</x:v>
      </x:c>
      <x:c r="C19" s="26" t="n">
        <x:v>4</x:v>
      </x:c>
      <x:c r="D19" s="24" t="n">
        <x:v>71.94</x:v>
      </x:c>
      <x:c r="E19" s="24" t="n">
        <x:v>70.35</x:v>
      </x:c>
      <x:c r="F19" s="24" t="n">
        <x:v>59.68</x:v>
      </x:c>
      <x:c r="G19" s="24" t="n">
        <x:v>9.14</x:v>
      </x:c>
      <x:c r="H19" s="24" t="n">
        <x:v>70.54</x:v>
      </x:c>
      <x:c r="I19" s="24" t="n">
        <x:v>47.96</x:v>
      </x:c>
      <x:c r="J19" s="24" t="n">
        <x:v>25</x:v>
      </x:c>
      <x:c r="K19" s="24" t="n">
        <x:v>15.97</x:v>
      </x:c>
      <x:c r="L19" s="24" t="n">
        <x:v>3.94</x:v>
      </x:c>
      <x:c r="M19" s="24" t="n">
        <x:f>0.35*(100-D19)+0.10*(100-E19)+0.20*(100-I19)+0.15*J19+0.10*G19+0.10*K19+L19</x:f>
        <x:v>33.395</x:v>
      </x:c>
      <x:c r="N19" t="str">
        <x:f>IF(M19&lt;27,"Low",IF(M19&lt;50,"Medium","High"))</x:f>
        <x:v>Medium</x:v>
      </x:c>
    </x:row>
    <x:row r="20">
      <x:c r="A20" t="str">
        <x:v>ML017</x:v>
      </x:c>
      <x:c r="B20" s="26" t="n">
        <x:v>7</x:v>
      </x:c>
      <x:c r="C20" s="26" t="n">
        <x:v>6</x:v>
      </x:c>
      <x:c r="D20" s="24" t="n">
        <x:v>67.6</x:v>
      </x:c>
      <x:c r="E20" s="24" t="n">
        <x:v>63.05</x:v>
      </x:c>
      <x:c r="F20" s="24" t="n">
        <x:v>44.7</x:v>
      </x:c>
      <x:c r="G20" s="24" t="n">
        <x:v>12.05</x:v>
      </x:c>
      <x:c r="H20" s="24" t="n">
        <x:v>53.82</x:v>
      </x:c>
      <x:c r="I20" s="24" t="n">
        <x:v>33.78</x:v>
      </x:c>
      <x:c r="J20" s="24" t="n">
        <x:v>50</x:v>
      </x:c>
      <x:c r="K20" s="24" t="n">
        <x:v>12.74</x:v>
      </x:c>
      <x:c r="L20" s="24" t="n">
        <x:v>-4.14</x:v>
      </x:c>
      <x:c r="M20" s="24" t="n">
        <x:f>0.35*(100-D20)+0.10*(100-E20)+0.20*(100-I20)+0.15*J20+0.10*G20+0.10*K20+L20</x:f>
        <x:v>34.118</x:v>
      </x:c>
      <x:c r="N20" t="str">
        <x:f>IF(M20&lt;27,"Low",IF(M20&lt;50,"Medium","High"))</x:f>
        <x:v>Medium</x:v>
      </x:c>
    </x:row>
    <x:row r="21">
      <x:c r="A21" t="str">
        <x:v>ML018</x:v>
      </x:c>
      <x:c r="B21" s="26" t="n">
        <x:v>6</x:v>
      </x:c>
      <x:c r="C21" s="26" t="n">
        <x:v>9</x:v>
      </x:c>
      <x:c r="D21" s="24" t="n">
        <x:v>66.51</x:v>
      </x:c>
      <x:c r="E21" s="24" t="n">
        <x:v>63.82</x:v>
      </x:c>
      <x:c r="F21" s="24" t="n">
        <x:v>48.39</x:v>
      </x:c>
      <x:c r="G21" s="24" t="n">
        <x:v>7.8</x:v>
      </x:c>
      <x:c r="H21" s="24" t="n">
        <x:v>66.46</x:v>
      </x:c>
      <x:c r="I21" s="24" t="n">
        <x:v>50.81</x:v>
      </x:c>
      <x:c r="J21" s="24" t="n">
        <x:v>0</x:v>
      </x:c>
      <x:c r="K21" s="24" t="n">
        <x:v>9.1</x:v>
      </x:c>
      <x:c r="L21" s="24" t="n">
        <x:v>-0.6</x:v>
      </x:c>
      <x:c r="M21" s="24" t="n">
        <x:f>0.35*(100-D21)+0.10*(100-E21)+0.20*(100-I21)+0.15*J21+0.10*G21+0.10*K21+L21</x:f>
        <x:v>26.2675</x:v>
      </x:c>
      <x:c r="N21" t="str">
        <x:f>IF(M21&lt;27,"Low",IF(M21&lt;50,"Medium","High"))</x:f>
        <x:v>Low</x:v>
      </x:c>
    </x:row>
    <x:row r="22">
      <x:c r="A22" t="str">
        <x:v>ML019</x:v>
      </x:c>
      <x:c r="B22" s="26" t="n">
        <x:v>7</x:v>
      </x:c>
      <x:c r="C22" s="26" t="n">
        <x:v>7</x:v>
      </x:c>
      <x:c r="D22" s="24" t="n">
        <x:v>27.31</x:v>
      </x:c>
      <x:c r="E22" s="24" t="n">
        <x:v>31.23</x:v>
      </x:c>
      <x:c r="F22" s="24" t="n">
        <x:v>17.61</x:v>
      </x:c>
      <x:c r="G22" s="24" t="n">
        <x:v>9.2</x:v>
      </x:c>
      <x:c r="H22" s="24" t="n">
        <x:v>25.89</x:v>
      </x:c>
      <x:c r="I22" s="24" t="n">
        <x:v>8.75</x:v>
      </x:c>
      <x:c r="J22" s="24" t="n">
        <x:v>100</x:v>
      </x:c>
      <x:c r="K22" s="24" t="n">
        <x:v>10.84</x:v>
      </x:c>
      <x:c r="L22" s="24" t="n">
        <x:v>2.7</x:v>
      </x:c>
      <x:c r="M22" s="24" t="n">
        <x:f>0.35*(100-D22)+0.10*(100-E22)+0.20*(100-I22)+0.15*J22+0.10*G22+0.10*K22+L22</x:f>
        <x:v>70.27250000000001</x:v>
      </x:c>
      <x:c r="N22" t="str">
        <x:f>IF(M22&lt;27,"Low",IF(M22&lt;50,"Medium","High"))</x:f>
        <x:v>High</x:v>
      </x:c>
    </x:row>
    <x:row r="23">
      <x:c r="A23" t="str">
        <x:v>ML020</x:v>
      </x:c>
      <x:c r="B23" s="26" t="n">
        <x:v>7</x:v>
      </x:c>
      <x:c r="C23" s="26" t="n">
        <x:v>5</x:v>
      </x:c>
      <x:c r="D23" s="24" t="n">
        <x:v>69.98</x:v>
      </x:c>
      <x:c r="E23" s="24" t="n">
        <x:v>69.9</x:v>
      </x:c>
      <x:c r="F23" s="24" t="n">
        <x:v>66.45</x:v>
      </x:c>
      <x:c r="G23" s="24" t="n">
        <x:v>3.26</x:v>
      </x:c>
      <x:c r="H23" s="24" t="n">
        <x:v>70.98</x:v>
      </x:c>
      <x:c r="I23" s="24" t="n">
        <x:v>58.56</x:v>
      </x:c>
      <x:c r="J23" s="24" t="n">
        <x:v>0</x:v>
      </x:c>
      <x:c r="K23" s="24" t="n">
        <x:v>6.44</x:v>
      </x:c>
      <x:c r="L23" s="24" t="n">
        <x:v>-2.46</x:v>
      </x:c>
      <x:c r="M23" s="24" t="n">
        <x:f>0.35*(100-D23)+0.10*(100-E23)+0.20*(100-I23)+0.15*J23+0.10*G23+0.10*K23+L23</x:f>
        <x:v>20.314999999999998</x:v>
      </x:c>
      <x:c r="N23" t="str">
        <x:f>IF(M23&lt;27,"Low",IF(M23&lt;50,"Medium","High"))</x:f>
        <x:v>Low</x:v>
      </x:c>
    </x:row>
    <x:row r="24">
      <x:c r="A24" t="str">
        <x:v>ML021</x:v>
      </x:c>
      <x:c r="B24" s="26" t="n">
        <x:v>8</x:v>
      </x:c>
      <x:c r="C24" s="26" t="n">
        <x:v>4</x:v>
      </x:c>
      <x:c r="D24" s="24" t="n">
        <x:v>44.11</x:v>
      </x:c>
      <x:c r="E24" s="24" t="n">
        <x:v>43.38</x:v>
      </x:c>
      <x:c r="F24" s="24" t="n">
        <x:v>27.38</x:v>
      </x:c>
      <x:c r="G24" s="24" t="n">
        <x:v>9.58</x:v>
      </x:c>
      <x:c r="H24" s="24" t="n">
        <x:v>53.62</x:v>
      </x:c>
      <x:c r="I24" s="24" t="n">
        <x:v>40.97</x:v>
      </x:c>
      <x:c r="J24" s="24" t="n">
        <x:v>25</x:v>
      </x:c>
      <x:c r="K24" s="24" t="n">
        <x:v>8.86</x:v>
      </x:c>
      <x:c r="L24" s="24" t="n">
        <x:v>1.01</x:v>
      </x:c>
      <x:c r="M24" s="24" t="n">
        <x:f>0.35*(100-D24)+0.10*(100-E24)+0.20*(100-I24)+0.15*J24+0.10*G24+0.10*K24+L24</x:f>
        <x:v>43.6335</x:v>
      </x:c>
      <x:c r="N24" t="str">
        <x:f>IF(M24&lt;27,"Low",IF(M24&lt;50,"Medium","High"))</x:f>
        <x:v>Medium</x:v>
      </x:c>
    </x:row>
    <x:row r="25">
      <x:c r="A25" t="str">
        <x:v>ML022</x:v>
      </x:c>
      <x:c r="B25" s="26" t="n">
        <x:v>6</x:v>
      </x:c>
      <x:c r="C25" s="26" t="n">
        <x:v>8</x:v>
      </x:c>
      <x:c r="D25" s="24" t="n">
        <x:v>52.67</x:v>
      </x:c>
      <x:c r="E25" s="24" t="n">
        <x:v>58.27</x:v>
      </x:c>
      <x:c r="F25" s="24" t="n">
        <x:v>43.15</x:v>
      </x:c>
      <x:c r="G25" s="24" t="n">
        <x:v>10.73</x:v>
      </x:c>
      <x:c r="H25" s="24" t="n">
        <x:v>55.16</x:v>
      </x:c>
      <x:c r="I25" s="24" t="n">
        <x:v>33.56</x:v>
      </x:c>
      <x:c r="J25" s="24" t="n">
        <x:v>12.5</x:v>
      </x:c>
      <x:c r="K25" s="24" t="n">
        <x:v>9.08</x:v>
      </x:c>
      <x:c r="L25" s="24" t="n">
        <x:v>3.41</x:v>
      </x:c>
      <x:c r="M25" s="24" t="n">
        <x:f>0.35*(100-D25)+0.10*(100-E25)+0.20*(100-I25)+0.15*J25+0.10*G25+0.10*K25+L25</x:f>
        <x:v>41.292500000000004</x:v>
      </x:c>
      <x:c r="N25" t="str">
        <x:f>IF(M25&lt;27,"Low",IF(M25&lt;50,"Medium","High"))</x:f>
        <x:v>Medium</x:v>
      </x:c>
    </x:row>
    <x:row r="26">
      <x:c r="A26" t="str">
        <x:v>ML023</x:v>
      </x:c>
      <x:c r="B26" s="26" t="n">
        <x:v>5</x:v>
      </x:c>
      <x:c r="C26" s="26" t="n">
        <x:v>4</x:v>
      </x:c>
      <x:c r="D26" s="24" t="n">
        <x:v>22.78</x:v>
      </x:c>
      <x:c r="E26" s="24" t="n">
        <x:v>20.23</x:v>
      </x:c>
      <x:c r="F26" s="24" t="n">
        <x:v>5.85</x:v>
      </x:c>
      <x:c r="G26" s="24" t="n">
        <x:v>11.09</x:v>
      </x:c>
      <x:c r="H26" s="24" t="n">
        <x:v>21.5</x:v>
      </x:c>
      <x:c r="I26" s="24" t="n">
        <x:v>4.6</x:v>
      </x:c>
      <x:c r="J26" s="24" t="n">
        <x:v>100</x:v>
      </x:c>
      <x:c r="K26" s="24" t="n">
        <x:v>11.91</x:v>
      </x:c>
      <x:c r="L26" s="24" t="n">
        <x:v>0.45</x:v>
      </x:c>
      <x:c r="M26" s="24" t="n">
        <x:f>0.35*(100-D26)+0.10*(100-E26)+0.20*(100-I26)+0.15*J26+0.10*G26+0.10*K26+L26</x:f>
        <x:v>71.834</x:v>
      </x:c>
      <x:c r="N26" t="str">
        <x:f>IF(M26&lt;27,"Low",IF(M26&lt;50,"Medium","High"))</x:f>
        <x:v>High</x:v>
      </x:c>
    </x:row>
    <x:row r="27">
      <x:c r="A27" t="str">
        <x:v>ML024</x:v>
      </x:c>
      <x:c r="B27" s="26" t="n">
        <x:v>4</x:v>
      </x:c>
      <x:c r="C27" s="26" t="n">
        <x:v>10</x:v>
      </x:c>
      <x:c r="D27" s="24" t="n">
        <x:v>21.95</x:v>
      </x:c>
      <x:c r="E27" s="24" t="n">
        <x:v>19.44</x:v>
      </x:c>
      <x:c r="F27" s="24" t="n">
        <x:v>9.35</x:v>
      </x:c>
      <x:c r="G27" s="24" t="n">
        <x:v>8.06</x:v>
      </x:c>
      <x:c r="H27" s="24" t="n">
        <x:v>12.41</x:v>
      </x:c>
      <x:c r="I27" s="24" t="n">
        <x:v>0</x:v>
      </x:c>
      <x:c r="J27" s="24" t="n">
        <x:v>100</x:v>
      </x:c>
      <x:c r="K27" s="24" t="n">
        <x:v>8.07</x:v>
      </x:c>
      <x:c r="L27" s="24" t="n">
        <x:v>-2.24</x:v>
      </x:c>
      <x:c r="M27" s="24" t="n">
        <x:f>0.35*(100-D27)+0.10*(100-E27)+0.20*(100-I27)+0.15*J27+0.10*G27+0.10*K27+L27</x:f>
        <x:v>69.74650000000001</x:v>
      </x:c>
      <x:c r="N27" t="str">
        <x:f>IF(M27&lt;27,"Low",IF(M27&lt;50,"Medium","High"))</x:f>
        <x:v>High</x:v>
      </x:c>
    </x:row>
    <x:row r="28">
      <x:c r="A28" t="str">
        <x:v>ML025</x:v>
      </x:c>
      <x:c r="B28" s="26" t="n">
        <x:v>6</x:v>
      </x:c>
      <x:c r="C28" s="26" t="n">
        <x:v>6</x:v>
      </x:c>
      <x:c r="D28" s="24" t="n">
        <x:v>35.19</x:v>
      </x:c>
      <x:c r="E28" s="24" t="n">
        <x:v>32.88</x:v>
      </x:c>
      <x:c r="F28" s="24" t="n">
        <x:v>19.97</x:v>
      </x:c>
      <x:c r="G28" s="24" t="n">
        <x:v>9.65</x:v>
      </x:c>
      <x:c r="H28" s="24" t="n">
        <x:v>33.5</x:v>
      </x:c>
      <x:c r="I28" s="24" t="n">
        <x:v>19.55</x:v>
      </x:c>
      <x:c r="J28" s="24" t="n">
        <x:v>83.33</x:v>
      </x:c>
      <x:c r="K28" s="24" t="n">
        <x:v>10.89</x:v>
      </x:c>
      <x:c r="L28" s="24" t="n">
        <x:v>-0.57</x:v>
      </x:c>
      <x:c r="M28" s="24" t="n">
        <x:f>0.35*(100-D28)+0.10*(100-E28)+0.20*(100-I28)+0.15*J28+0.10*G28+0.10*K28+L28</x:f>
        <x:v>59.469</x:v>
      </x:c>
      <x:c r="N28" t="str">
        <x:f>IF(M28&lt;27,"Low",IF(M28&lt;50,"Medium","High"))</x:f>
        <x:v>High</x:v>
      </x:c>
    </x:row>
    <x:row r="29">
      <x:c r="A29" t="str">
        <x:v>ML026</x:v>
      </x:c>
      <x:c r="B29" s="26" t="n">
        <x:v>9</x:v>
      </x:c>
      <x:c r="C29" s="26" t="n">
        <x:v>9</x:v>
      </x:c>
      <x:c r="D29" s="24" t="n">
        <x:v>96.97</x:v>
      </x:c>
      <x:c r="E29" s="24" t="n">
        <x:v>95.56</x:v>
      </x:c>
      <x:c r="F29" s="24" t="n">
        <x:v>87.16</x:v>
      </x:c>
      <x:c r="G29" s="24" t="n">
        <x:v>4.54</x:v>
      </x:c>
      <x:c r="H29" s="24" t="n">
        <x:v>92.49</x:v>
      </x:c>
      <x:c r="I29" s="24" t="n">
        <x:v>84.82</x:v>
      </x:c>
      <x:c r="J29" s="24" t="n">
        <x:v>0</x:v>
      </x:c>
      <x:c r="K29" s="24" t="n">
        <x:v>4.66</x:v>
      </x:c>
      <x:c r="L29" s="24" t="n">
        <x:v>-4.59</x:v>
      </x:c>
      <x:c r="M29" s="24" t="n">
        <x:f>0.35*(100-D29)+0.10*(100-E29)+0.20*(100-I29)+0.15*J29+0.10*G29+0.10*K29+L29</x:f>
        <x:v>0.8705000000000016</x:v>
      </x:c>
      <x:c r="N29" t="str">
        <x:f>IF(M29&lt;27,"Low",IF(M29&lt;50,"Medium","High"))</x:f>
        <x:v>Low</x:v>
      </x:c>
    </x:row>
    <x:row r="30">
      <x:c r="A30" t="str">
        <x:v>ML027</x:v>
      </x:c>
      <x:c r="B30" s="26" t="n">
        <x:v>9</x:v>
      </x:c>
      <x:c r="C30" s="26" t="n">
        <x:v>8</x:v>
      </x:c>
      <x:c r="D30" s="24" t="n">
        <x:v>66.6</x:v>
      </x:c>
      <x:c r="E30" s="24" t="n">
        <x:v>65.21</x:v>
      </x:c>
      <x:c r="F30" s="24" t="n">
        <x:v>58.29</x:v>
      </x:c>
      <x:c r="G30" s="24" t="n">
        <x:v>7.61</x:v>
      </x:c>
      <x:c r="H30" s="24" t="n">
        <x:v>61.27</x:v>
      </x:c>
      <x:c r="I30" s="24" t="n">
        <x:v>46.29</x:v>
      </x:c>
      <x:c r="J30" s="24" t="n">
        <x:v>12.5</x:v>
      </x:c>
      <x:c r="K30" s="24" t="n">
        <x:v>12.56</x:v>
      </x:c>
      <x:c r="L30" s="24" t="n">
        <x:v>-4.71</x:v>
      </x:c>
      <x:c r="M30" s="24" t="n">
        <x:f>0.35*(100-D30)+0.10*(100-E30)+0.20*(100-I30)+0.15*J30+0.10*G30+0.10*K30+L30</x:f>
        <x:v>25.093</x:v>
      </x:c>
      <x:c r="N30" t="str">
        <x:f>IF(M30&lt;27,"Low",IF(M30&lt;50,"Medium","High"))</x:f>
        <x:v>Low</x:v>
      </x:c>
    </x:row>
    <x:row r="31">
      <x:c r="A31" t="str">
        <x:v>ML028</x:v>
      </x:c>
      <x:c r="B31" s="26" t="n">
        <x:v>4</x:v>
      </x:c>
      <x:c r="C31" s="26" t="n">
        <x:v>10</x:v>
      </x:c>
      <x:c r="D31" s="24" t="n">
        <x:v>74.78</x:v>
      </x:c>
      <x:c r="E31" s="24" t="n">
        <x:v>75.36</x:v>
      </x:c>
      <x:c r="F31" s="24" t="n">
        <x:v>52.11</x:v>
      </x:c>
      <x:c r="G31" s="24" t="n">
        <x:v>14.21</x:v>
      </x:c>
      <x:c r="H31" s="24" t="n">
        <x:v>67.65</x:v>
      </x:c>
      <x:c r="I31" s="24" t="n">
        <x:v>39.71</x:v>
      </x:c>
      <x:c r="J31" s="24" t="n">
        <x:v>10</x:v>
      </x:c>
      <x:c r="K31" s="24" t="n">
        <x:v>13.62</x:v>
      </x:c>
      <x:c r="L31" s="24" t="n">
        <x:v>-1.07</x:v>
      </x:c>
      <x:c r="M31" s="24" t="n">
        <x:f>0.35*(100-D31)+0.10*(100-E31)+0.20*(100-I31)+0.15*J31+0.10*G31+0.10*K31+L31</x:f>
        <x:v>26.561999999999998</x:v>
      </x:c>
      <x:c r="N31" t="str">
        <x:f>IF(M31&lt;27,"Low",IF(M31&lt;50,"Medium","High"))</x:f>
        <x:v>Low</x:v>
      </x:c>
    </x:row>
    <x:row r="32">
      <x:c r="A32" t="str">
        <x:v>ML029</x:v>
      </x:c>
      <x:c r="B32" s="26" t="n">
        <x:v>5</x:v>
      </x:c>
      <x:c r="C32" s="26" t="n">
        <x:v>6</x:v>
      </x:c>
      <x:c r="D32" s="24" t="n">
        <x:v>80.98</x:v>
      </x:c>
      <x:c r="E32" s="24" t="n">
        <x:v>82.78</x:v>
      </x:c>
      <x:c r="F32" s="24" t="n">
        <x:v>63.44</x:v>
      </x:c>
      <x:c r="G32" s="24" t="n">
        <x:v>10.35</x:v>
      </x:c>
      <x:c r="H32" s="24" t="n">
        <x:v>78.05</x:v>
      </x:c>
      <x:c r="I32" s="24" t="n">
        <x:v>72.01</x:v>
      </x:c>
      <x:c r="J32" s="24" t="n">
        <x:v>0</x:v>
      </x:c>
      <x:c r="K32" s="24" t="n">
        <x:v>3.76</x:v>
      </x:c>
      <x:c r="L32" s="24" t="n">
        <x:v>2.36</x:v>
      </x:c>
      <x:c r="M32" s="24" t="n">
        <x:f>0.35*(100-D32)+0.10*(100-E32)+0.20*(100-I32)+0.15*J32+0.10*G32+0.10*K32+L32</x:f>
        <x:v>17.747999999999998</x:v>
      </x:c>
      <x:c r="N32" t="str">
        <x:f>IF(M32&lt;27,"Low",IF(M32&lt;50,"Medium","High"))</x:f>
        <x:v>Low</x:v>
      </x:c>
    </x:row>
    <x:row r="33">
      <x:c r="A33" t="str">
        <x:v>ML030</x:v>
      </x:c>
      <x:c r="B33" s="26" t="n">
        <x:v>9</x:v>
      </x:c>
      <x:c r="C33" s="26" t="n">
        <x:v>7</x:v>
      </x:c>
      <x:c r="D33" s="24" t="n">
        <x:v>47.09</x:v>
      </x:c>
      <x:c r="E33" s="24" t="n">
        <x:v>48.8</x:v>
      </x:c>
      <x:c r="F33" s="24" t="n">
        <x:v>35.64</x:v>
      </x:c>
      <x:c r="G33" s="24" t="n">
        <x:v>7.09</x:v>
      </x:c>
      <x:c r="H33" s="24" t="n">
        <x:v>37.24</x:v>
      </x:c>
      <x:c r="I33" s="24" t="n">
        <x:v>22.75</x:v>
      </x:c>
      <x:c r="J33" s="24" t="n">
        <x:v>85.71</x:v>
      </x:c>
      <x:c r="K33" s="24" t="n">
        <x:v>10.47</x:v>
      </x:c>
      <x:c r="L33" s="24" t="n">
        <x:v>3.65</x:v>
      </x:c>
      <x:c r="M33" s="24" t="n">
        <x:f>0.35*(100-D33)+0.10*(100-E33)+0.20*(100-I33)+0.15*J33+0.10*G33+0.10*K33+L33</x:f>
        <x:v>57.35099999999999</x:v>
      </x:c>
      <x:c r="N33" t="str">
        <x:f>IF(M33&lt;27,"Low",IF(M33&lt;50,"Medium","High"))</x:f>
        <x:v>High</x:v>
      </x:c>
    </x:row>
    <x:row r="34">
      <x:c r="A34" t="str">
        <x:v>ML031</x:v>
      </x:c>
      <x:c r="B34" s="26" t="n">
        <x:v>4</x:v>
      </x:c>
      <x:c r="C34" s="26" t="n">
        <x:v>5</x:v>
      </x:c>
      <x:c r="D34" s="24" t="n">
        <x:v>47</x:v>
      </x:c>
      <x:c r="E34" s="24" t="n">
        <x:v>44.86</x:v>
      </x:c>
      <x:c r="F34" s="24" t="n">
        <x:v>29.57</x:v>
      </x:c>
      <x:c r="G34" s="24" t="n">
        <x:v>9.2</x:v>
      </x:c>
      <x:c r="H34" s="24" t="n">
        <x:v>40.6</x:v>
      </x:c>
      <x:c r="I34" s="24" t="n">
        <x:v>36.28</x:v>
      </x:c>
      <x:c r="J34" s="24" t="n">
        <x:v>100</x:v>
      </x:c>
      <x:c r="K34" s="24" t="n">
        <x:v>3.41</x:v>
      </x:c>
      <x:c r="L34" s="24" t="n">
        <x:v>6.33</x:v>
      </x:c>
      <x:c r="M34" s="24" t="n">
        <x:f>0.35*(100-D34)+0.10*(100-E34)+0.20*(100-I34)+0.15*J34+0.10*G34+0.10*K34+L34</x:f>
        <x:v>59.398999999999994</x:v>
      </x:c>
      <x:c r="N34" t="str">
        <x:f>IF(M34&lt;27,"Low",IF(M34&lt;50,"Medium","High"))</x:f>
        <x:v>High</x:v>
      </x:c>
    </x:row>
    <x:row r="35">
      <x:c r="A35" t="str">
        <x:v>ML032</x:v>
      </x:c>
      <x:c r="B35" s="26" t="n">
        <x:v>8</x:v>
      </x:c>
      <x:c r="C35" s="26" t="n">
        <x:v>6</x:v>
      </x:c>
      <x:c r="D35" s="24" t="n">
        <x:v>41.68</x:v>
      </x:c>
      <x:c r="E35" s="24" t="n">
        <x:v>43.25</x:v>
      </x:c>
      <x:c r="F35" s="24" t="n">
        <x:v>29.24</x:v>
      </x:c>
      <x:c r="G35" s="24" t="n">
        <x:v>7.33</x:v>
      </x:c>
      <x:c r="H35" s="24" t="n">
        <x:v>29.99</x:v>
      </x:c>
      <x:c r="I35" s="24" t="n">
        <x:v>13.01</x:v>
      </x:c>
      <x:c r="J35" s="24" t="n">
        <x:v>100</x:v>
      </x:c>
      <x:c r="K35" s="24" t="n">
        <x:v>10.77</x:v>
      </x:c>
      <x:c r="L35" s="24" t="n">
        <x:v>0.11</x:v>
      </x:c>
      <x:c r="M35" s="24" t="n">
        <x:f>0.35*(100-D35)+0.10*(100-E35)+0.20*(100-I35)+0.15*J35+0.10*G35+0.10*K35+L35</x:f>
        <x:v>60.404999999999994</x:v>
      </x:c>
      <x:c r="N35" t="str">
        <x:f>IF(M35&lt;27,"Low",IF(M35&lt;50,"Medium","High"))</x:f>
        <x:v>High</x:v>
      </x:c>
    </x:row>
    <x:row r="36">
      <x:c r="A36" t="str">
        <x:v>ML033</x:v>
      </x:c>
      <x:c r="B36" s="26" t="n">
        <x:v>9</x:v>
      </x:c>
      <x:c r="C36" s="26" t="n">
        <x:v>9</x:v>
      </x:c>
      <x:c r="D36" s="24" t="n">
        <x:v>78.08</x:v>
      </x:c>
      <x:c r="E36" s="24" t="n">
        <x:v>74.52</x:v>
      </x:c>
      <x:c r="F36" s="24" t="n">
        <x:v>43.28</x:v>
      </x:c>
      <x:c r="G36" s="24" t="n">
        <x:v>17.85</x:v>
      </x:c>
      <x:c r="H36" s="24" t="n">
        <x:v>67.65</x:v>
      </x:c>
      <x:c r="I36" s="24" t="n">
        <x:v>43.35</x:v>
      </x:c>
      <x:c r="J36" s="24" t="n">
        <x:v>11.11</x:v>
      </x:c>
      <x:c r="K36" s="24" t="n">
        <x:v>13.53</x:v>
      </x:c>
      <x:c r="L36" s="24" t="n">
        <x:v>-4.3</x:v>
      </x:c>
      <x:c r="M36" s="24" t="n">
        <x:f>0.35*(100-D36)+0.10*(100-E36)+0.20*(100-I36)+0.15*J36+0.10*G36+0.10*K36+L36</x:f>
        <x:v>22.0545</x:v>
      </x:c>
      <x:c r="N36" t="str">
        <x:f>IF(M36&lt;27,"Low",IF(M36&lt;50,"Medium","High"))</x:f>
        <x:v>Low</x:v>
      </x:c>
    </x:row>
    <x:row r="37">
      <x:c r="A37" t="str">
        <x:v>ML034</x:v>
      </x:c>
      <x:c r="B37" s="26" t="n">
        <x:v>5</x:v>
      </x:c>
      <x:c r="C37" s="26" t="n">
        <x:v>8</x:v>
      </x:c>
      <x:c r="D37" s="24" t="n">
        <x:v>65.37</x:v>
      </x:c>
      <x:c r="E37" s="24" t="n">
        <x:v>66.89</x:v>
      </x:c>
      <x:c r="F37" s="24" t="n">
        <x:v>57.67</x:v>
      </x:c>
      <x:c r="G37" s="24" t="n">
        <x:v>8.9</x:v>
      </x:c>
      <x:c r="H37" s="24" t="n">
        <x:v>63.49</x:v>
      </x:c>
      <x:c r="I37" s="24" t="n">
        <x:v>52.81</x:v>
      </x:c>
      <x:c r="J37" s="24" t="n">
        <x:v>0</x:v>
      </x:c>
      <x:c r="K37" s="24" t="n">
        <x:v>6.85</x:v>
      </x:c>
      <x:c r="L37" s="24" t="n">
        <x:v>-0.31</x:v>
      </x:c>
      <x:c r="M37" s="24" t="n">
        <x:f>0.35*(100-D37)+0.10*(100-E37)+0.20*(100-I37)+0.15*J37+0.10*G37+0.10*K37+L37</x:f>
        <x:v>26.1345</x:v>
      </x:c>
      <x:c r="N37" t="str">
        <x:f>IF(M37&lt;27,"Low",IF(M37&lt;50,"Medium","High"))</x:f>
        <x:v>Low</x:v>
      </x:c>
    </x:row>
    <x:row r="38">
      <x:c r="A38" t="str">
        <x:v>ML035</x:v>
      </x:c>
      <x:c r="B38" s="26" t="n">
        <x:v>9</x:v>
      </x:c>
      <x:c r="C38" s="26" t="n">
        <x:v>5</x:v>
      </x:c>
      <x:c r="D38" s="24" t="n">
        <x:v>66.19</x:v>
      </x:c>
      <x:c r="E38" s="24" t="n">
        <x:v>66.66</x:v>
      </x:c>
      <x:c r="F38" s="24" t="n">
        <x:v>50.04</x:v>
      </x:c>
      <x:c r="G38" s="24" t="n">
        <x:v>9.59</x:v>
      </x:c>
      <x:c r="H38" s="24" t="n">
        <x:v>62.09</x:v>
      </x:c>
      <x:c r="I38" s="24" t="n">
        <x:v>58.21</x:v>
      </x:c>
      <x:c r="J38" s="24" t="n">
        <x:v>0</x:v>
      </x:c>
      <x:c r="K38" s="24" t="n">
        <x:v>2.62</x:v>
      </x:c>
      <x:c r="L38" s="24" t="n">
        <x:v>-0.32</x:v>
      </x:c>
      <x:c r="M38" s="24" t="n">
        <x:f>0.35*(100-D38)+0.10*(100-E38)+0.20*(100-I38)+0.15*J38+0.10*G38+0.10*K38+L38</x:f>
        <x:v>24.4265</x:v>
      </x:c>
      <x:c r="N38" t="str">
        <x:f>IF(M38&lt;27,"Low",IF(M38&lt;50,"Medium","High"))</x:f>
        <x:v>Low</x:v>
      </x:c>
    </x:row>
    <x:row r="39">
      <x:c r="A39" t="str">
        <x:v>ML036</x:v>
      </x:c>
      <x:c r="B39" s="26" t="n">
        <x:v>6</x:v>
      </x:c>
      <x:c r="C39" s="26" t="n">
        <x:v>5</x:v>
      </x:c>
      <x:c r="D39" s="24" t="n">
        <x:v>85.03</x:v>
      </x:c>
      <x:c r="E39" s="24" t="n">
        <x:v>83.93</x:v>
      </x:c>
      <x:c r="F39" s="24" t="n">
        <x:v>68.65</x:v>
      </x:c>
      <x:c r="G39" s="24" t="n">
        <x:v>9.76</x:v>
      </x:c>
      <x:c r="H39" s="24" t="n">
        <x:v>83.93</x:v>
      </x:c>
      <x:c r="I39" s="24" t="n">
        <x:v>65.11</x:v>
      </x:c>
      <x:c r="J39" s="24" t="n">
        <x:v>0</x:v>
      </x:c>
      <x:c r="K39" s="24" t="n">
        <x:v>13.61</x:v>
      </x:c>
      <x:c r="L39" s="24" t="n">
        <x:v>-2.76</x:v>
      </x:c>
      <x:c r="M39" s="24" t="n">
        <x:f>0.35*(100-D39)+0.10*(100-E39)+0.20*(100-I39)+0.15*J39+0.10*G39+0.10*K39+L39</x:f>
        <x:v>13.4015</x:v>
      </x:c>
      <x:c r="N39" t="str">
        <x:f>IF(M39&lt;27,"Low",IF(M39&lt;50,"Medium","High"))</x:f>
        <x:v>Low</x:v>
      </x:c>
    </x:row>
    <x:row r="40">
      <x:c r="A40" t="str">
        <x:v>ML037</x:v>
      </x:c>
      <x:c r="B40" s="26" t="n">
        <x:v>9</x:v>
      </x:c>
      <x:c r="C40" s="26" t="n">
        <x:v>5</x:v>
      </x:c>
      <x:c r="D40" s="24" t="n">
        <x:v>73.07</x:v>
      </x:c>
      <x:c r="E40" s="24" t="n">
        <x:v>70.84</x:v>
      </x:c>
      <x:c r="F40" s="24" t="n">
        <x:v>51.01</x:v>
      </x:c>
      <x:c r="G40" s="24" t="n">
        <x:v>10.52</x:v>
      </x:c>
      <x:c r="H40" s="24" t="n">
        <x:v>65.79</x:v>
      </x:c>
      <x:c r="I40" s="24" t="n">
        <x:v>47.69</x:v>
      </x:c>
      <x:c r="J40" s="24" t="n">
        <x:v>20</x:v>
      </x:c>
      <x:c r="K40" s="24" t="n">
        <x:v>10.63</x:v>
      </x:c>
      <x:c r="L40" s="24" t="n">
        <x:v>10</x:v>
      </x:c>
      <x:c r="M40" s="24" t="n">
        <x:f>0.35*(100-D40)+0.10*(100-E40)+0.20*(100-I40)+0.15*J40+0.10*G40+0.10*K40+L40</x:f>
        <x:v>37.9185</x:v>
      </x:c>
      <x:c r="N40" t="str">
        <x:f>IF(M40&lt;27,"Low",IF(M40&lt;50,"Medium","High"))</x:f>
        <x:v>Medium</x:v>
      </x:c>
    </x:row>
    <x:row r="41">
      <x:c r="A41" t="str">
        <x:v>ML038</x:v>
      </x:c>
      <x:c r="B41" s="26" t="n">
        <x:v>6</x:v>
      </x:c>
      <x:c r="C41" s="26" t="n">
        <x:v>8</x:v>
      </x:c>
      <x:c r="D41" s="24" t="n">
        <x:v>60.89</x:v>
      </x:c>
      <x:c r="E41" s="24" t="n">
        <x:v>65.58</x:v>
      </x:c>
      <x:c r="F41" s="24" t="n">
        <x:v>58.8</x:v>
      </x:c>
      <x:c r="G41" s="24" t="n">
        <x:v>5.23</x:v>
      </x:c>
      <x:c r="H41" s="24" t="n">
        <x:v>73.18</x:v>
      </x:c>
      <x:c r="I41" s="24" t="n">
        <x:v>63.39</x:v>
      </x:c>
      <x:c r="J41" s="24" t="n">
        <x:v>0</x:v>
      </x:c>
      <x:c r="K41" s="24" t="n">
        <x:v>4.94</x:v>
      </x:c>
      <x:c r="L41" s="24" t="n">
        <x:v>-3.2</x:v>
      </x:c>
      <x:c r="M41" s="24" t="n">
        <x:f>0.35*(100-D41)+0.10*(100-E41)+0.20*(100-I41)+0.15*J41+0.10*G41+0.10*K41+L41</x:f>
        <x:v>22.269499999999997</x:v>
      </x:c>
      <x:c r="N41" t="str">
        <x:f>IF(M41&lt;27,"Low",IF(M41&lt;50,"Medium","High"))</x:f>
        <x:v>Low</x:v>
      </x:c>
    </x:row>
    <x:row r="42">
      <x:c r="A42" t="str">
        <x:v>ML039</x:v>
      </x:c>
      <x:c r="B42" s="26" t="n">
        <x:v>5</x:v>
      </x:c>
      <x:c r="C42" s="26" t="n">
        <x:v>4</x:v>
      </x:c>
      <x:c r="D42" s="24" t="n">
        <x:v>90.67</x:v>
      </x:c>
      <x:c r="E42" s="24" t="n">
        <x:v>93.9</x:v>
      </x:c>
      <x:c r="F42" s="24" t="n">
        <x:v>85.93</x:v>
      </x:c>
      <x:c r="G42" s="24" t="n">
        <x:v>4.7</x:v>
      </x:c>
      <x:c r="H42" s="24" t="n">
        <x:v>88.17</x:v>
      </x:c>
      <x:c r="I42" s="24" t="n">
        <x:v>75.32</x:v>
      </x:c>
      <x:c r="J42" s="24" t="n">
        <x:v>0</x:v>
      </x:c>
      <x:c r="K42" s="24" t="n">
        <x:v>7.62</x:v>
      </x:c>
      <x:c r="L42" s="24" t="n">
        <x:v>-2.5</x:v>
      </x:c>
      <x:c r="M42" s="24" t="n">
        <x:f>0.35*(100-D42)+0.10*(100-E42)+0.20*(100-I42)+0.15*J42+0.10*G42+0.10*K42+L42</x:f>
        <x:v>7.543500000000002</x:v>
      </x:c>
      <x:c r="N42" t="str">
        <x:f>IF(M42&lt;27,"Low",IF(M42&lt;50,"Medium","High"))</x:f>
        <x:v>Low</x:v>
      </x:c>
    </x:row>
    <x:row r="43">
      <x:c r="A43" t="str">
        <x:v>ML040</x:v>
      </x:c>
      <x:c r="B43" s="26" t="n">
        <x:v>8</x:v>
      </x:c>
      <x:c r="C43" s="26" t="n">
        <x:v>4</x:v>
      </x:c>
      <x:c r="D43" s="24" t="n">
        <x:v>57.93</x:v>
      </x:c>
      <x:c r="E43" s="24" t="n">
        <x:v>55.67</x:v>
      </x:c>
      <x:c r="F43" s="24" t="n">
        <x:v>43.15</x:v>
      </x:c>
      <x:c r="G43" s="24" t="n">
        <x:v>8.48</x:v>
      </x:c>
      <x:c r="H43" s="24" t="n">
        <x:v>50.84</x:v>
      </x:c>
      <x:c r="I43" s="24" t="n">
        <x:v>41.18</x:v>
      </x:c>
      <x:c r="J43" s="24" t="n">
        <x:v>25</x:v>
      </x:c>
      <x:c r="K43" s="24" t="n">
        <x:v>5.6</x:v>
      </x:c>
      <x:c r="L43" s="24" t="n">
        <x:v>0.34</x:v>
      </x:c>
      <x:c r="M43" s="24" t="n">
        <x:f>0.35*(100-D43)+0.10*(100-E43)+0.20*(100-I43)+0.15*J43+0.10*G43+0.10*K43+L43</x:f>
        <x:v>36.419500000000006</x:v>
      </x:c>
      <x:c r="N43" t="str">
        <x:f>IF(M43&lt;27,"Low",IF(M43&lt;50,"Medium","High"))</x:f>
        <x:v>Medium</x:v>
      </x:c>
    </x:row>
    <x:row r="44">
      <x:c r="A44" t="str">
        <x:v>ML041</x:v>
      </x:c>
      <x:c r="B44" s="26" t="n">
        <x:v>8</x:v>
      </x:c>
      <x:c r="C44" s="26" t="n">
        <x:v>10</x:v>
      </x:c>
      <x:c r="D44" s="24" t="n">
        <x:v>60.6</x:v>
      </x:c>
      <x:c r="E44" s="24" t="n">
        <x:v>57.36</x:v>
      </x:c>
      <x:c r="F44" s="24" t="n">
        <x:v>46.46</x:v>
      </x:c>
      <x:c r="G44" s="24" t="n">
        <x:v>6.51</x:v>
      </x:c>
      <x:c r="H44" s="24" t="n">
        <x:v>50.91</x:v>
      </x:c>
      <x:c r="I44" s="24" t="n">
        <x:v>44.76</x:v>
      </x:c>
      <x:c r="J44" s="24" t="n">
        <x:v>50</x:v>
      </x:c>
      <x:c r="K44" s="24" t="n">
        <x:v>4.94</x:v>
      </x:c>
      <x:c r="L44" s="24" t="n">
        <x:v>2.22</x:v>
      </x:c>
      <x:c r="M44" s="24" t="n">
        <x:f>0.35*(100-D44)+0.10*(100-E44)+0.20*(100-I44)+0.15*J44+0.10*G44+0.10*K44+L44</x:f>
        <x:v>39.967000000000006</x:v>
      </x:c>
      <x:c r="N44" t="str">
        <x:f>IF(M44&lt;27,"Low",IF(M44&lt;50,"Medium","High"))</x:f>
        <x:v>Medium</x:v>
      </x:c>
    </x:row>
    <x:row r="45">
      <x:c r="A45" t="str">
        <x:v>ML042</x:v>
      </x:c>
      <x:c r="B45" s="26" t="n">
        <x:v>8</x:v>
      </x:c>
      <x:c r="C45" s="26" t="n">
        <x:v>10</x:v>
      </x:c>
      <x:c r="D45" s="24" t="n">
        <x:v>54.43</x:v>
      </x:c>
      <x:c r="E45" s="24" t="n">
        <x:v>53.34</x:v>
      </x:c>
      <x:c r="F45" s="24" t="n">
        <x:v>45.2</x:v>
      </x:c>
      <x:c r="G45" s="24" t="n">
        <x:v>8.48</x:v>
      </x:c>
      <x:c r="H45" s="24" t="n">
        <x:v>53.42</x:v>
      </x:c>
      <x:c r="I45" s="24" t="n">
        <x:v>29.71</x:v>
      </x:c>
      <x:c r="J45" s="24" t="n">
        <x:v>30</x:v>
      </x:c>
      <x:c r="K45" s="24" t="n">
        <x:v>11.61</x:v>
      </x:c>
      <x:c r="L45" s="24" t="n">
        <x:v>-0.75</x:v>
      </x:c>
      <x:c r="M45" s="24" t="n">
        <x:f>0.35*(100-D45)+0.10*(100-E45)+0.20*(100-I45)+0.15*J45+0.10*G45+0.10*K45+L45</x:f>
        <x:v>40.4325</x:v>
      </x:c>
      <x:c r="N45" t="str">
        <x:f>IF(M45&lt;27,"Low",IF(M45&lt;50,"Medium","High"))</x:f>
        <x:v>Medium</x:v>
      </x:c>
    </x:row>
    <x:row r="46">
      <x:c r="A46" t="str">
        <x:v>ML043</x:v>
      </x:c>
      <x:c r="B46" s="26" t="n">
        <x:v>5</x:v>
      </x:c>
      <x:c r="C46" s="26" t="n">
        <x:v>5</x:v>
      </x:c>
      <x:c r="D46" s="24" t="n">
        <x:v>43.88</x:v>
      </x:c>
      <x:c r="E46" s="24" t="n">
        <x:v>43.49</x:v>
      </x:c>
      <x:c r="F46" s="24" t="n">
        <x:v>38.38</x:v>
      </x:c>
      <x:c r="G46" s="24" t="n">
        <x:v>4.73</x:v>
      </x:c>
      <x:c r="H46" s="24" t="n">
        <x:v>42.87</x:v>
      </x:c>
      <x:c r="I46" s="24" t="n">
        <x:v>20.3</x:v>
      </x:c>
      <x:c r="J46" s="24" t="n">
        <x:v>80</x:v>
      </x:c>
      <x:c r="K46" s="24" t="n">
        <x:v>11.59</x:v>
      </x:c>
      <x:c r="L46" s="24" t="n">
        <x:v>-2.69</x:v>
      </x:c>
      <x:c r="M46" s="24" t="n">
        <x:f>0.35*(100-D46)+0.10*(100-E46)+0.20*(100-I46)+0.15*J46+0.10*G46+0.10*K46+L46</x:f>
        <x:v>52.175000000000004</x:v>
      </x:c>
      <x:c r="N46" t="str">
        <x:f>IF(M46&lt;27,"Low",IF(M46&lt;50,"Medium","High"))</x:f>
        <x:v>High</x:v>
      </x:c>
    </x:row>
    <x:row r="47">
      <x:c r="A47" t="str">
        <x:v>ML044</x:v>
      </x:c>
      <x:c r="B47" s="26" t="n">
        <x:v>6</x:v>
      </x:c>
      <x:c r="C47" s="26" t="n">
        <x:v>9</x:v>
      </x:c>
      <x:c r="D47" s="24" t="n">
        <x:v>92.14</x:v>
      </x:c>
      <x:c r="E47" s="24" t="n">
        <x:v>92.95</x:v>
      </x:c>
      <x:c r="F47" s="24" t="n">
        <x:v>79.07</x:v>
      </x:c>
      <x:c r="G47" s="24" t="n">
        <x:v>6.67</x:v>
      </x:c>
      <x:c r="H47" s="24" t="n">
        <x:v>88.61</x:v>
      </x:c>
      <x:c r="I47" s="24" t="n">
        <x:v>80.23</x:v>
      </x:c>
      <x:c r="J47" s="24" t="n">
        <x:v>0</x:v>
      </x:c>
      <x:c r="K47" s="24" t="n">
        <x:v>6.94</x:v>
      </x:c>
      <x:c r="L47" s="24" t="n">
        <x:v>4.08</x:v>
      </x:c>
      <x:c r="M47" s="24" t="n">
        <x:f>0.35*(100-D47)+0.10*(100-E47)+0.20*(100-I47)+0.15*J47+0.10*G47+0.10*K47+L47</x:f>
        <x:v>12.850999999999999</x:v>
      </x:c>
      <x:c r="N47" t="str">
        <x:f>IF(M47&lt;27,"Low",IF(M47&lt;50,"Medium","High"))</x:f>
        <x:v>Low</x:v>
      </x:c>
    </x:row>
    <x:row r="48">
      <x:c r="A48" t="str">
        <x:v>ML045</x:v>
      </x:c>
      <x:c r="B48" s="26" t="n">
        <x:v>9</x:v>
      </x:c>
      <x:c r="C48" s="26" t="n">
        <x:v>10</x:v>
      </x:c>
      <x:c r="D48" s="24" t="n">
        <x:v>38.13</x:v>
      </x:c>
      <x:c r="E48" s="24" t="n">
        <x:v>36.21</x:v>
      </x:c>
      <x:c r="F48" s="24" t="n">
        <x:v>13.48</x:v>
      </x:c>
      <x:c r="G48" s="24" t="n">
        <x:v>13.81</x:v>
      </x:c>
      <x:c r="H48" s="24" t="n">
        <x:v>29.25</x:v>
      </x:c>
      <x:c r="I48" s="24" t="n">
        <x:v>0</x:v>
      </x:c>
      <x:c r="J48" s="24" t="n">
        <x:v>100</x:v>
      </x:c>
      <x:c r="K48" s="24" t="n">
        <x:v>12.04</x:v>
      </x:c>
      <x:c r="L48" s="24" t="n">
        <x:v>2.44</x:v>
      </x:c>
      <x:c r="M48" s="24" t="n">
        <x:f>0.35*(100-D48)+0.10*(100-E48)+0.20*(100-I48)+0.15*J48+0.10*G48+0.10*K48+L48</x:f>
        <x:v>68.0585</x:v>
      </x:c>
      <x:c r="N48" t="str">
        <x:f>IF(M48&lt;27,"Low",IF(M48&lt;50,"Medium","High"))</x:f>
        <x:v>High</x:v>
      </x:c>
    </x:row>
    <x:row r="49">
      <x:c r="A49" t="str">
        <x:v>ML046</x:v>
      </x:c>
      <x:c r="B49" s="26" t="n">
        <x:v>5</x:v>
      </x:c>
      <x:c r="C49" s="26" t="n">
        <x:v>9</x:v>
      </x:c>
      <x:c r="D49" s="24" t="n">
        <x:v>59.47</x:v>
      </x:c>
      <x:c r="E49" s="24" t="n">
        <x:v>59.03</x:v>
      </x:c>
      <x:c r="F49" s="24" t="n">
        <x:v>42.69</x:v>
      </x:c>
      <x:c r="G49" s="24" t="n">
        <x:v>9.87</x:v>
      </x:c>
      <x:c r="H49" s="24" t="n">
        <x:v>56.42</x:v>
      </x:c>
      <x:c r="I49" s="24" t="n">
        <x:v>38.61</x:v>
      </x:c>
      <x:c r="J49" s="24" t="n">
        <x:v>11.11</x:v>
      </x:c>
      <x:c r="K49" s="24" t="n">
        <x:v>9.67</x:v>
      </x:c>
      <x:c r="L49" s="24" t="n">
        <x:v>4.79</x:v>
      </x:c>
      <x:c r="M49" s="24" t="n">
        <x:f>0.35*(100-D49)+0.10*(100-E49)+0.20*(100-I49)+0.15*J49+0.10*G49+0.10*K49+L49</x:f>
        <x:v>38.971</x:v>
      </x:c>
      <x:c r="N49" t="str">
        <x:f>IF(M49&lt;27,"Low",IF(M49&lt;50,"Medium","High"))</x:f>
        <x:v>Medium</x:v>
      </x:c>
    </x:row>
    <x:row r="50">
      <x:c r="A50" t="str">
        <x:v>ML047</x:v>
      </x:c>
      <x:c r="B50" s="26" t="n">
        <x:v>6</x:v>
      </x:c>
      <x:c r="C50" s="26" t="n">
        <x:v>4</x:v>
      </x:c>
      <x:c r="D50" s="24" t="n">
        <x:v>67.23</x:v>
      </x:c>
      <x:c r="E50" s="24" t="n">
        <x:v>68.96</x:v>
      </x:c>
      <x:c r="F50" s="24" t="n">
        <x:v>61.3</x:v>
      </x:c>
      <x:c r="G50" s="24" t="n">
        <x:v>8.41</x:v>
      </x:c>
      <x:c r="H50" s="24" t="n">
        <x:v>56.96</x:v>
      </x:c>
      <x:c r="I50" s="24" t="n">
        <x:v>44.9</x:v>
      </x:c>
      <x:c r="J50" s="24" t="n">
        <x:v>50</x:v>
      </x:c>
      <x:c r="K50" s="24" t="n">
        <x:v>11.45</x:v>
      </x:c>
      <x:c r="L50" s="24" t="n">
        <x:v>0.3</x:v>
      </x:c>
      <x:c r="M50" s="24" t="n">
        <x:f>0.35*(100-D50)+0.10*(100-E50)+0.20*(100-I50)+0.15*J50+0.10*G50+0.10*K50+L50</x:f>
        <x:v>35.3795</x:v>
      </x:c>
      <x:c r="N50" t="str">
        <x:f>IF(M50&lt;27,"Low",IF(M50&lt;50,"Medium","High"))</x:f>
        <x:v>Medium</x:v>
      </x:c>
    </x:row>
    <x:row r="51">
      <x:c r="A51" t="str">
        <x:v>ML048</x:v>
      </x:c>
      <x:c r="B51" s="26" t="n">
        <x:v>9</x:v>
      </x:c>
      <x:c r="C51" s="26" t="n">
        <x:v>5</x:v>
      </x:c>
      <x:c r="D51" s="24" t="n">
        <x:v>86.78</x:v>
      </x:c>
      <x:c r="E51" s="24" t="n">
        <x:v>82.49</x:v>
      </x:c>
      <x:c r="F51" s="24" t="n">
        <x:v>69.18</x:v>
      </x:c>
      <x:c r="G51" s="24" t="n">
        <x:v>6.57</x:v>
      </x:c>
      <x:c r="H51" s="24" t="n">
        <x:v>81.37</x:v>
      </x:c>
      <x:c r="I51" s="24" t="n">
        <x:v>77.7</x:v>
      </x:c>
      <x:c r="J51" s="24" t="n">
        <x:v>0</x:v>
      </x:c>
      <x:c r="K51" s="24" t="n">
        <x:v>2.35</x:v>
      </x:c>
      <x:c r="L51" s="24" t="n">
        <x:v>5.18</x:v>
      </x:c>
      <x:c r="M51" s="24" t="n">
        <x:f>0.35*(100-D51)+0.10*(100-E51)+0.20*(100-I51)+0.15*J51+0.10*G51+0.10*K51+L51</x:f>
        <x:v>16.909999999999997</x:v>
      </x:c>
      <x:c r="N51" t="str">
        <x:f>IF(M51&lt;27,"Low",IF(M51&lt;50,"Medium","High"))</x:f>
        <x:v>Low</x:v>
      </x:c>
    </x:row>
    <x:row r="52">
      <x:c r="A52" t="str">
        <x:v>ML049</x:v>
      </x:c>
      <x:c r="B52" s="26" t="n">
        <x:v>9</x:v>
      </x:c>
      <x:c r="C52" s="26" t="n">
        <x:v>6</x:v>
      </x:c>
      <x:c r="D52" s="24" t="n">
        <x:v>71.94</x:v>
      </x:c>
      <x:c r="E52" s="24" t="n">
        <x:v>74.8</x:v>
      </x:c>
      <x:c r="F52" s="24" t="n">
        <x:v>54.72</x:v>
      </x:c>
      <x:c r="G52" s="24" t="n">
        <x:v>10.13</x:v>
      </x:c>
      <x:c r="H52" s="24" t="n">
        <x:v>71.3</x:v>
      </x:c>
      <x:c r="I52" s="24" t="n">
        <x:v>56.45</x:v>
      </x:c>
      <x:c r="J52" s="24" t="n">
        <x:v>0</x:v>
      </x:c>
      <x:c r="K52" s="24" t="n">
        <x:v>8.41</x:v>
      </x:c>
      <x:c r="L52" s="24" t="n">
        <x:v>-1.55</x:v>
      </x:c>
      <x:c r="M52" s="24" t="n">
        <x:f>0.35*(100-D52)+0.10*(100-E52)+0.20*(100-I52)+0.15*J52+0.10*G52+0.10*K52+L52</x:f>
        <x:v>21.355000000000004</x:v>
      </x:c>
      <x:c r="N52" t="str">
        <x:f>IF(M52&lt;27,"Low",IF(M52&lt;50,"Medium","High"))</x:f>
        <x:v>Low</x:v>
      </x:c>
    </x:row>
    <x:row r="53">
      <x:c r="A53" t="str">
        <x:v>ML050</x:v>
      </x:c>
      <x:c r="B53" s="26" t="n">
        <x:v>5</x:v>
      </x:c>
      <x:c r="C53" s="26" t="n">
        <x:v>7</x:v>
      </x:c>
      <x:c r="D53" s="24" t="n">
        <x:v>74.2</x:v>
      </x:c>
      <x:c r="E53" s="24" t="n">
        <x:v>78.45</x:v>
      </x:c>
      <x:c r="F53" s="24" t="n">
        <x:v>70.48</x:v>
      </x:c>
      <x:c r="G53" s="24" t="n">
        <x:v>5.97</x:v>
      </x:c>
      <x:c r="H53" s="24" t="n">
        <x:v>68.16</x:v>
      </x:c>
      <x:c r="I53" s="24" t="n">
        <x:v>54.46</x:v>
      </x:c>
      <x:c r="J53" s="24" t="n">
        <x:v>0</x:v>
      </x:c>
      <x:c r="K53" s="24" t="n">
        <x:v>9.11</x:v>
      </x:c>
      <x:c r="L53" s="24" t="n">
        <x:v>-6.51</x:v>
      </x:c>
      <x:c r="M53" s="24" t="n">
        <x:f>0.35*(100-D53)+0.10*(100-E53)+0.20*(100-I53)+0.15*J53+0.10*G53+0.10*K53+L53</x:f>
        <x:v>15.291000000000002</x:v>
      </x:c>
      <x:c r="N53" t="str">
        <x:f>IF(M53&lt;27,"Low",IF(M53&lt;50,"Medium","High"))</x:f>
        <x:v>Low</x:v>
      </x:c>
    </x:row>
    <x:row r="54">
      <x:c r="A54" t="str">
        <x:v>ML051</x:v>
      </x:c>
      <x:c r="B54" s="26" t="n">
        <x:v>6</x:v>
      </x:c>
      <x:c r="C54" s="26" t="n">
        <x:v>6</x:v>
      </x:c>
      <x:c r="D54" s="24" t="n">
        <x:v>80.56</x:v>
      </x:c>
      <x:c r="E54" s="24" t="n">
        <x:v>75.63</x:v>
      </x:c>
      <x:c r="F54" s="24" t="n">
        <x:v>67.74</x:v>
      </x:c>
      <x:c r="G54" s="24" t="n">
        <x:v>7.76</x:v>
      </x:c>
      <x:c r="H54" s="24" t="n">
        <x:v>71.37</x:v>
      </x:c>
      <x:c r="I54" s="24" t="n">
        <x:v>62.5</x:v>
      </x:c>
      <x:c r="J54" s="24" t="n">
        <x:v>0</x:v>
      </x:c>
      <x:c r="K54" s="24" t="n">
        <x:v>6.93</x:v>
      </x:c>
      <x:c r="L54" s="24" t="n">
        <x:v>-1.32</x:v>
      </x:c>
      <x:c r="M54" s="24" t="n">
        <x:f>0.35*(100-D54)+0.10*(100-E54)+0.20*(100-I54)+0.15*J54+0.10*G54+0.10*K54+L54</x:f>
        <x:v>16.89</x:v>
      </x:c>
      <x:c r="N54" t="str">
        <x:f>IF(M54&lt;27,"Low",IF(M54&lt;50,"Medium","High"))</x:f>
        <x:v>Low</x:v>
      </x:c>
    </x:row>
    <x:row r="55">
      <x:c r="A55" t="str">
        <x:v>ML052</x:v>
      </x:c>
      <x:c r="B55" s="26" t="n">
        <x:v>7</x:v>
      </x:c>
      <x:c r="C55" s="26" t="n">
        <x:v>8</x:v>
      </x:c>
      <x:c r="D55" s="24" t="n">
        <x:v>71.04</x:v>
      </x:c>
      <x:c r="E55" s="24" t="n">
        <x:v>75.2</x:v>
      </x:c>
      <x:c r="F55" s="24" t="n">
        <x:v>66.73</x:v>
      </x:c>
      <x:c r="G55" s="24" t="n">
        <x:v>6.56</x:v>
      </x:c>
      <x:c r="H55" s="24" t="n">
        <x:v>64.57</x:v>
      </x:c>
      <x:c r="I55" s="24" t="n">
        <x:v>49.37</x:v>
      </x:c>
      <x:c r="J55" s="24" t="n">
        <x:v>12.5</x:v>
      </x:c>
      <x:c r="K55" s="24" t="n">
        <x:v>7.76</x:v>
      </x:c>
      <x:c r="L55" s="24" t="n">
        <x:v>0.74</x:v>
      </x:c>
      <x:c r="M55" s="24" t="n">
        <x:f>0.35*(100-D55)+0.10*(100-E55)+0.20*(100-I55)+0.15*J55+0.10*G55+0.10*K55+L55</x:f>
        <x:v>26.788999999999994</x:v>
      </x:c>
      <x:c r="N55" t="str">
        <x:f>IF(M55&lt;27,"Low",IF(M55&lt;50,"Medium","High"))</x:f>
        <x:v>Low</x:v>
      </x:c>
    </x:row>
    <x:row r="56">
      <x:c r="A56" t="str">
        <x:v>ML053</x:v>
      </x:c>
      <x:c r="B56" s="26" t="n">
        <x:v>7</x:v>
      </x:c>
      <x:c r="C56" s="26" t="n">
        <x:v>7</x:v>
      </x:c>
      <x:c r="D56" s="24" t="n">
        <x:v>52.24</x:v>
      </x:c>
      <x:c r="E56" s="24" t="n">
        <x:v>48.4</x:v>
      </x:c>
      <x:c r="F56" s="24" t="n">
        <x:v>42.15</x:v>
      </x:c>
      <x:c r="G56" s="24" t="n">
        <x:v>4.62</x:v>
      </x:c>
      <x:c r="H56" s="24" t="n">
        <x:v>52.48</x:v>
      </x:c>
      <x:c r="I56" s="24" t="n">
        <x:v>41.18</x:v>
      </x:c>
      <x:c r="J56" s="24" t="n">
        <x:v>42.86</x:v>
      </x:c>
      <x:c r="K56" s="24" t="n">
        <x:v>8.86</x:v>
      </x:c>
      <x:c r="L56" s="24" t="n">
        <x:v>3.22</x:v>
      </x:c>
      <x:c r="M56" s="24" t="n">
        <x:f>0.35*(100-D56)+0.10*(100-E56)+0.20*(100-I56)+0.15*J56+0.10*G56+0.10*K56+L56</x:f>
        <x:v>44.63700000000001</x:v>
      </x:c>
      <x:c r="N56" t="str">
        <x:f>IF(M56&lt;27,"Low",IF(M56&lt;50,"Medium","High"))</x:f>
        <x:v>Medium</x:v>
      </x:c>
    </x:row>
    <x:row r="57">
      <x:c r="A57" t="str">
        <x:v>ML054</x:v>
      </x:c>
      <x:c r="B57" s="26" t="n">
        <x:v>8</x:v>
      </x:c>
      <x:c r="C57" s="26" t="n">
        <x:v>4</x:v>
      </x:c>
      <x:c r="D57" s="24" t="n">
        <x:v>53.33</x:v>
      </x:c>
      <x:c r="E57" s="24" t="n">
        <x:v>51.48</x:v>
      </x:c>
      <x:c r="F57" s="24" t="n">
        <x:v>43.44</x:v>
      </x:c>
      <x:c r="G57" s="24" t="n">
        <x:v>6.9</x:v>
      </x:c>
      <x:c r="H57" s="24" t="n">
        <x:v>39.44</x:v>
      </x:c>
      <x:c r="I57" s="24" t="n">
        <x:v>9.43</x:v>
      </x:c>
      <x:c r="J57" s="24" t="n">
        <x:v>50</x:v>
      </x:c>
      <x:c r="K57" s="24" t="n">
        <x:v>22.91</x:v>
      </x:c>
      <x:c r="L57" s="24" t="n">
        <x:v>1.9</x:v>
      </x:c>
      <x:c r="M57" s="24" t="n">
        <x:f>0.35*(100-D57)+0.10*(100-E57)+0.20*(100-I57)+0.15*J57+0.10*G57+0.10*K57+L57</x:f>
        <x:v>51.68149999999999</x:v>
      </x:c>
      <x:c r="N57" t="str">
        <x:f>IF(M57&lt;27,"Low",IF(M57&lt;50,"Medium","High"))</x:f>
        <x:v>High</x:v>
      </x:c>
    </x:row>
    <x:row r="58">
      <x:c r="A58" t="str">
        <x:v>ML055</x:v>
      </x:c>
      <x:c r="B58" s="26" t="n">
        <x:v>9</x:v>
      </x:c>
      <x:c r="C58" s="26" t="n">
        <x:v>9</x:v>
      </x:c>
      <x:c r="D58" s="24" t="n">
        <x:v>52.67</x:v>
      </x:c>
      <x:c r="E58" s="24" t="n">
        <x:v>49.62</x:v>
      </x:c>
      <x:c r="F58" s="24" t="n">
        <x:v>30.95</x:v>
      </x:c>
      <x:c r="G58" s="24" t="n">
        <x:v>9.1</x:v>
      </x:c>
      <x:c r="H58" s="24" t="n">
        <x:v>44.21</x:v>
      </x:c>
      <x:c r="I58" s="24" t="n">
        <x:v>25.72</x:v>
      </x:c>
      <x:c r="J58" s="24" t="n">
        <x:v>77.78</x:v>
      </x:c>
      <x:c r="K58" s="24" t="n">
        <x:v>13.83</x:v>
      </x:c>
      <x:c r="L58" s="24" t="n">
        <x:v>-3.3</x:v>
      </x:c>
      <x:c r="M58" s="24" t="n">
        <x:f>0.35*(100-D58)+0.10*(100-E58)+0.20*(100-I58)+0.15*J58+0.10*G58+0.10*K58+L58</x:f>
        <x:v>47.11950000000001</x:v>
      </x:c>
      <x:c r="N58" t="str">
        <x:f>IF(M58&lt;27,"Low",IF(M58&lt;50,"Medium","High"))</x:f>
        <x:v>Medium</x:v>
      </x:c>
    </x:row>
    <x:row r="59">
      <x:c r="A59" t="str">
        <x:v>ML056</x:v>
      </x:c>
      <x:c r="B59" s="26" t="n">
        <x:v>4</x:v>
      </x:c>
      <x:c r="C59" s="26" t="n">
        <x:v>6</x:v>
      </x:c>
      <x:c r="D59" s="24" t="n">
        <x:v>43.08</x:v>
      </x:c>
      <x:c r="E59" s="24" t="n">
        <x:v>41.29</x:v>
      </x:c>
      <x:c r="F59" s="24" t="n">
        <x:v>20.67</x:v>
      </x:c>
      <x:c r="G59" s="24" t="n">
        <x:v>13.61</x:v>
      </x:c>
      <x:c r="H59" s="24" t="n">
        <x:v>35.37</x:v>
      </x:c>
      <x:c r="I59" s="24" t="n">
        <x:v>13.27</x:v>
      </x:c>
      <x:c r="J59" s="24" t="n">
        <x:v>83.33</x:v>
      </x:c>
      <x:c r="K59" s="24" t="n">
        <x:v>13.77</x:v>
      </x:c>
      <x:c r="L59" s="24" t="n">
        <x:v>1.08</x:v>
      </x:c>
      <x:c r="M59" s="24" t="n">
        <x:f>0.35*(100-D59)+0.10*(100-E59)+0.20*(100-I59)+0.15*J59+0.10*G59+0.10*K59+L59</x:f>
        <x:v>59.45649999999999</x:v>
      </x:c>
      <x:c r="N59" t="str">
        <x:f>IF(M59&lt;27,"Low",IF(M59&lt;50,"Medium","High"))</x:f>
        <x:v>High</x:v>
      </x:c>
    </x:row>
    <x:row r="60">
      <x:c r="A60" t="str">
        <x:v>ML057</x:v>
      </x:c>
      <x:c r="B60" s="26" t="n">
        <x:v>8</x:v>
      </x:c>
      <x:c r="C60" s="26" t="n">
        <x:v>4</x:v>
      </x:c>
      <x:c r="D60" s="24" t="n">
        <x:v>71.53</x:v>
      </x:c>
      <x:c r="E60" s="24" t="n">
        <x:v>74.05</x:v>
      </x:c>
      <x:c r="F60" s="24" t="n">
        <x:v>52.13</x:v>
      </x:c>
      <x:c r="G60" s="24" t="n">
        <x:v>14.6</x:v>
      </x:c>
      <x:c r="H60" s="24" t="n">
        <x:v>80.1</x:v>
      </x:c>
      <x:c r="I60" s="24" t="n">
        <x:v>73.71</x:v>
      </x:c>
      <x:c r="J60" s="24" t="n">
        <x:v>0</x:v>
      </x:c>
      <x:c r="K60" s="24" t="n">
        <x:v>5.28</x:v>
      </x:c>
      <x:c r="L60" s="24" t="n">
        <x:v>-2.38</x:v>
      </x:c>
      <x:c r="M60" s="24" t="n">
        <x:f>0.35*(100-D60)+0.10*(100-E60)+0.20*(100-I60)+0.15*J60+0.10*G60+0.10*K60+L60</x:f>
        <x:v>17.425500000000003</x:v>
      </x:c>
      <x:c r="N60" t="str">
        <x:f>IF(M60&lt;27,"Low",IF(M60&lt;50,"Medium","High"))</x:f>
        <x:v>Low</x:v>
      </x:c>
    </x:row>
    <x:row r="61">
      <x:c r="A61" t="str">
        <x:v>ML058</x:v>
      </x:c>
      <x:c r="B61" s="26" t="n">
        <x:v>7</x:v>
      </x:c>
      <x:c r="C61" s="26" t="n">
        <x:v>5</x:v>
      </x:c>
      <x:c r="D61" s="24" t="n">
        <x:v>40.15</x:v>
      </x:c>
      <x:c r="E61" s="24" t="n">
        <x:v>42.35</x:v>
      </x:c>
      <x:c r="F61" s="24" t="n">
        <x:v>34.64</x:v>
      </x:c>
      <x:c r="G61" s="24" t="n">
        <x:v>8.78</x:v>
      </x:c>
      <x:c r="H61" s="24" t="n">
        <x:v>32.89</x:v>
      </x:c>
      <x:c r="I61" s="24" t="n">
        <x:v>11.32</x:v>
      </x:c>
      <x:c r="J61" s="24" t="n">
        <x:v>80</x:v>
      </x:c>
      <x:c r="K61" s="24" t="n">
        <x:v>14.67</x:v>
      </x:c>
      <x:c r="L61" s="24" t="n">
        <x:v>2.06</x:v>
      </x:c>
      <x:c r="M61" s="24" t="n">
        <x:f>0.35*(100-D61)+0.10*(100-E61)+0.20*(100-I61)+0.15*J61+0.10*G61+0.10*K61+L61</x:f>
        <x:v>60.8535</x:v>
      </x:c>
      <x:c r="N61" t="str">
        <x:f>IF(M61&lt;27,"Low",IF(M61&lt;50,"Medium","High"))</x:f>
        <x:v>High</x:v>
      </x:c>
    </x:row>
    <x:row r="62">
      <x:c r="A62" t="str">
        <x:v>ML059</x:v>
      </x:c>
      <x:c r="B62" s="26" t="n">
        <x:v>4</x:v>
      </x:c>
      <x:c r="C62" s="26" t="n">
        <x:v>6</x:v>
      </x:c>
      <x:c r="D62" s="24" t="n">
        <x:v>80.79</x:v>
      </x:c>
      <x:c r="E62" s="24" t="n">
        <x:v>79.07</x:v>
      </x:c>
      <x:c r="F62" s="24" t="n">
        <x:v>63.3</x:v>
      </x:c>
      <x:c r="G62" s="24" t="n">
        <x:v>11.85</x:v>
      </x:c>
      <x:c r="H62" s="24" t="n">
        <x:v>69.94</x:v>
      </x:c>
      <x:c r="I62" s="24" t="n">
        <x:v>49.56</x:v>
      </x:c>
      <x:c r="J62" s="24" t="n">
        <x:v>16.67</x:v>
      </x:c>
      <x:c r="K62" s="24" t="n">
        <x:v>15.85</x:v>
      </x:c>
      <x:c r="L62" s="24" t="n">
        <x:v>-2.45</x:v>
      </x:c>
      <x:c r="M62" s="24" t="n">
        <x:f>0.35*(100-D62)+0.10*(100-E62)+0.20*(100-I62)+0.15*J62+0.10*G62+0.10*K62+L62</x:f>
        <x:v>21.724999999999998</x:v>
      </x:c>
      <x:c r="N62" t="str">
        <x:f>IF(M62&lt;27,"Low",IF(M62&lt;50,"Medium","High"))</x:f>
        <x:v>Low</x:v>
      </x:c>
    </x:row>
    <x:row r="63">
      <x:c r="A63" t="str">
        <x:v>ML060</x:v>
      </x:c>
      <x:c r="B63" s="26" t="n">
        <x:v>6</x:v>
      </x:c>
      <x:c r="C63" s="26" t="n">
        <x:v>5</x:v>
      </x:c>
      <x:c r="D63" s="24" t="n">
        <x:v>60.86</x:v>
      </x:c>
      <x:c r="E63" s="24" t="n">
        <x:v>63.64</x:v>
      </x:c>
      <x:c r="F63" s="24" t="n">
        <x:v>59.66</x:v>
      </x:c>
      <x:c r="G63" s="24" t="n">
        <x:v>2.7</x:v>
      </x:c>
      <x:c r="H63" s="24" t="n">
        <x:v>69.67</x:v>
      </x:c>
      <x:c r="I63" s="24" t="n">
        <x:v>62.4</x:v>
      </x:c>
      <x:c r="J63" s="24" t="n">
        <x:v>0</x:v>
      </x:c>
      <x:c r="K63" s="24" t="n">
        <x:v>6.38</x:v>
      </x:c>
      <x:c r="L63" s="24" t="n">
        <x:v>0.49</x:v>
      </x:c>
      <x:c r="M63" s="24" t="n">
        <x:f>0.35*(100-D63)+0.10*(100-E63)+0.20*(100-I63)+0.15*J63+0.10*G63+0.10*K63+L63</x:f>
        <x:v>26.253</x:v>
      </x:c>
      <x:c r="N63" t="str">
        <x:f>IF(M63&lt;27,"Low",IF(M63&lt;50,"Medium","High"))</x:f>
        <x:v>Low</x:v>
      </x:c>
    </x:row>
    <x:row r="64">
      <x:c r="A64" t="str">
        <x:v>ML061</x:v>
      </x:c>
      <x:c r="B64" s="26" t="n">
        <x:v>8</x:v>
      </x:c>
      <x:c r="C64" s="26" t="n">
        <x:v>7</x:v>
      </x:c>
      <x:c r="D64" s="24" t="n">
        <x:v>54.57</x:v>
      </x:c>
      <x:c r="E64" s="24" t="n">
        <x:v>54.78</x:v>
      </x:c>
      <x:c r="F64" s="24" t="n">
        <x:v>43.73</x:v>
      </x:c>
      <x:c r="G64" s="24" t="n">
        <x:v>7.23</x:v>
      </x:c>
      <x:c r="H64" s="24" t="n">
        <x:v>57.24</x:v>
      </x:c>
      <x:c r="I64" s="24" t="n">
        <x:v>43.76</x:v>
      </x:c>
      <x:c r="J64" s="24" t="n">
        <x:v>28.57</x:v>
      </x:c>
      <x:c r="K64" s="24" t="n">
        <x:v>8.31</x:v>
      </x:c>
      <x:c r="L64" s="24" t="n">
        <x:v>0.24</x:v>
      </x:c>
      <x:c r="M64" s="24" t="n">
        <x:f>0.35*(100-D64)+0.10*(100-E64)+0.20*(100-I64)+0.15*J64+0.10*G64+0.10*K64+L64</x:f>
        <x:v>37.75000000000001</x:v>
      </x:c>
      <x:c r="N64" t="str">
        <x:f>IF(M64&lt;27,"Low",IF(M64&lt;50,"Medium","High"))</x:f>
        <x:v>Medium</x:v>
      </x:c>
    </x:row>
    <x:row r="65">
      <x:c r="A65" t="str">
        <x:v>ML062</x:v>
      </x:c>
      <x:c r="B65" s="26" t="n">
        <x:v>4</x:v>
      </x:c>
      <x:c r="C65" s="26" t="n">
        <x:v>5</x:v>
      </x:c>
      <x:c r="D65" s="24" t="n">
        <x:v>65.69</x:v>
      </x:c>
      <x:c r="E65" s="24" t="n">
        <x:v>67.65</x:v>
      </x:c>
      <x:c r="F65" s="24" t="n">
        <x:v>57.83</x:v>
      </x:c>
      <x:c r="G65" s="24" t="n">
        <x:v>6.33</x:v>
      </x:c>
      <x:c r="H65" s="24" t="n">
        <x:v>54.03</x:v>
      </x:c>
      <x:c r="I65" s="24" t="n">
        <x:v>30.09</x:v>
      </x:c>
      <x:c r="J65" s="24" t="n">
        <x:v>20</x:v>
      </x:c>
      <x:c r="K65" s="24" t="n">
        <x:v>15.4</x:v>
      </x:c>
      <x:c r="L65" s="24" t="n">
        <x:v>-0.82</x:v>
      </x:c>
      <x:c r="M65" s="24" t="n">
        <x:f>0.35*(100-D65)+0.10*(100-E65)+0.20*(100-I65)+0.15*J65+0.10*G65+0.10*K65+L65</x:f>
        <x:v>33.5785</x:v>
      </x:c>
      <x:c r="N65" t="str">
        <x:f>IF(M65&lt;27,"Low",IF(M65&lt;50,"Medium","High"))</x:f>
        <x:v>Medium</x:v>
      </x:c>
    </x:row>
    <x:row r="66">
      <x:c r="A66" t="str">
        <x:v>ML063</x:v>
      </x:c>
      <x:c r="B66" s="26" t="n">
        <x:v>8</x:v>
      </x:c>
      <x:c r="C66" s="26" t="n">
        <x:v>6</x:v>
      </x:c>
      <x:c r="D66" s="24" t="n">
        <x:v>60.85</x:v>
      </x:c>
      <x:c r="E66" s="24" t="n">
        <x:v>61.32</x:v>
      </x:c>
      <x:c r="F66" s="24" t="n">
        <x:v>45.48</x:v>
      </x:c>
      <x:c r="G66" s="24" t="n">
        <x:v>9.33</x:v>
      </x:c>
      <x:c r="H66" s="24" t="n">
        <x:v>47.53</x:v>
      </x:c>
      <x:c r="I66" s="24" t="n">
        <x:v>22.07</x:v>
      </x:c>
      <x:c r="J66" s="24" t="n">
        <x:v>50</x:v>
      </x:c>
      <x:c r="K66" s="24" t="n">
        <x:v>14.07</x:v>
      </x:c>
      <x:c r="L66" s="24" t="n">
        <x:v>-6.37</x:v>
      </x:c>
      <x:c r="M66" s="24" t="n">
        <x:f>0.35*(100-D66)+0.10*(100-E66)+0.20*(100-I66)+0.15*J66+0.10*G66+0.10*K66+L66</x:f>
        <x:v>36.6265</x:v>
      </x:c>
      <x:c r="N66" t="str">
        <x:f>IF(M66&lt;27,"Low",IF(M66&lt;50,"Medium","High"))</x:f>
        <x:v>Medium</x:v>
      </x:c>
    </x:row>
    <x:row r="67">
      <x:c r="A67" t="str">
        <x:v>ML064</x:v>
      </x:c>
      <x:c r="B67" s="26" t="n">
        <x:v>4</x:v>
      </x:c>
      <x:c r="C67" s="26" t="n">
        <x:v>5</x:v>
      </x:c>
      <x:c r="D67" s="24" t="n">
        <x:v>44.38</x:v>
      </x:c>
      <x:c r="E67" s="24" t="n">
        <x:v>44.97</x:v>
      </x:c>
      <x:c r="F67" s="24" t="n">
        <x:v>38.34</x:v>
      </x:c>
      <x:c r="G67" s="24" t="n">
        <x:v>4.01</x:v>
      </x:c>
      <x:c r="H67" s="24" t="n">
        <x:v>36.66</x:v>
      </x:c>
      <x:c r="I67" s="24" t="n">
        <x:v>16.62</x:v>
      </x:c>
      <x:c r="J67" s="24" t="n">
        <x:v>80</x:v>
      </x:c>
      <x:c r="K67" s="24" t="n">
        <x:v>14.69</x:v>
      </x:c>
      <x:c r="L67" s="24" t="n">
        <x:v>-2.02</x:v>
      </x:c>
      <x:c r="M67" s="24" t="n">
        <x:f>0.35*(100-D67)+0.10*(100-E67)+0.20*(100-I67)+0.15*J67+0.10*G67+0.10*K67+L67</x:f>
        <x:v>53.496</x:v>
      </x:c>
      <x:c r="N67" t="str">
        <x:f>IF(M67&lt;27,"Low",IF(M67&lt;50,"Medium","High"))</x:f>
        <x:v>High</x:v>
      </x:c>
    </x:row>
    <x:row r="68">
      <x:c r="A68" t="str">
        <x:v>ML065</x:v>
      </x:c>
      <x:c r="B68" s="26" t="n">
        <x:v>5</x:v>
      </x:c>
      <x:c r="C68" s="26" t="n">
        <x:v>6</x:v>
      </x:c>
      <x:c r="D68" s="24" t="n">
        <x:v>59.35</x:v>
      </x:c>
      <x:c r="E68" s="24" t="n">
        <x:v>62.15</x:v>
      </x:c>
      <x:c r="F68" s="24" t="n">
        <x:v>55.34</x:v>
      </x:c>
      <x:c r="G68" s="24" t="n">
        <x:v>5.64</x:v>
      </x:c>
      <x:c r="H68" s="24" t="n">
        <x:v>62.15</x:v>
      </x:c>
      <x:c r="I68" s="24" t="n">
        <x:v>51.28</x:v>
      </x:c>
      <x:c r="J68" s="24" t="n">
        <x:v>0</x:v>
      </x:c>
      <x:c r="K68" s="24" t="n">
        <x:v>7.68</x:v>
      </x:c>
      <x:c r="L68" s="24" t="n">
        <x:v>-2.22</x:v>
      </x:c>
      <x:c r="M68" s="24" t="n">
        <x:f>0.35*(100-D68)+0.10*(100-E68)+0.20*(100-I68)+0.15*J68+0.10*G68+0.10*K68+L68</x:f>
        <x:v>26.8685</x:v>
      </x:c>
      <x:c r="N68" t="str">
        <x:f>IF(M68&lt;27,"Low",IF(M68&lt;50,"Medium","High"))</x:f>
        <x:v>Low</x:v>
      </x:c>
    </x:row>
    <x:row r="69">
      <x:c r="A69" t="str">
        <x:v>ML066</x:v>
      </x:c>
      <x:c r="B69" s="26" t="n">
        <x:v>8</x:v>
      </x:c>
      <x:c r="C69" s="26" t="n">
        <x:v>4</x:v>
      </x:c>
      <x:c r="D69" s="24" t="n">
        <x:v>63.57</x:v>
      </x:c>
      <x:c r="E69" s="24" t="n">
        <x:v>63.06</x:v>
      </x:c>
      <x:c r="F69" s="24" t="n">
        <x:v>51.88</x:v>
      </x:c>
      <x:c r="G69" s="24" t="n">
        <x:v>7.64</x:v>
      </x:c>
      <x:c r="H69" s="24" t="n">
        <x:v>65.95</x:v>
      </x:c>
      <x:c r="I69" s="24" t="n">
        <x:v>50.68</x:v>
      </x:c>
      <x:c r="J69" s="24" t="n">
        <x:v>0</x:v>
      </x:c>
      <x:c r="K69" s="24" t="n">
        <x:v>13.18</x:v>
      </x:c>
      <x:c r="L69" s="24" t="n">
        <x:v>0.81</x:v>
      </x:c>
      <x:c r="M69" s="24" t="n">
        <x:f>0.35*(100-D69)+0.10*(100-E69)+0.20*(100-I69)+0.15*J69+0.10*G69+0.10*K69+L69</x:f>
        <x:v>29.200499999999998</x:v>
      </x:c>
      <x:c r="N69" t="str">
        <x:f>IF(M69&lt;27,"Low",IF(M69&lt;50,"Medium","High"))</x:f>
        <x:v>Medium</x:v>
      </x:c>
    </x:row>
    <x:row r="70">
      <x:c r="A70" t="str">
        <x:v>ML067</x:v>
      </x:c>
      <x:c r="B70" s="26" t="n">
        <x:v>5</x:v>
      </x:c>
      <x:c r="C70" s="26" t="n">
        <x:v>6</x:v>
      </x:c>
      <x:c r="D70" s="24" t="n">
        <x:v>53.1</x:v>
      </x:c>
      <x:c r="E70" s="24" t="n">
        <x:v>56.53</x:v>
      </x:c>
      <x:c r="F70" s="24" t="n">
        <x:v>48.42</x:v>
      </x:c>
      <x:c r="G70" s="24" t="n">
        <x:v>5.29</x:v>
      </x:c>
      <x:c r="H70" s="24" t="n">
        <x:v>48.78</x:v>
      </x:c>
      <x:c r="I70" s="24" t="n">
        <x:v>29.67</x:v>
      </x:c>
      <x:c r="J70" s="24" t="n">
        <x:v>50</x:v>
      </x:c>
      <x:c r="K70" s="24" t="n">
        <x:v>10.14</x:v>
      </x:c>
      <x:c r="L70" s="24" t="n">
        <x:v>2.22</x:v>
      </x:c>
      <x:c r="M70" s="24" t="n">
        <x:f>0.35*(100-D70)+0.10*(100-E70)+0.20*(100-I70)+0.15*J70+0.10*G70+0.10*K70+L70</x:f>
        <x:v>46.09100000000001</x:v>
      </x:c>
      <x:c r="N70" t="str">
        <x:f>IF(M70&lt;27,"Low",IF(M70&lt;50,"Medium","High"))</x:f>
        <x:v>Medium</x:v>
      </x:c>
    </x:row>
    <x:row r="71">
      <x:c r="A71" t="str">
        <x:v>ML068</x:v>
      </x:c>
      <x:c r="B71" s="26" t="n">
        <x:v>6</x:v>
      </x:c>
      <x:c r="C71" s="26" t="n">
        <x:v>8</x:v>
      </x:c>
      <x:c r="D71" s="24" t="n">
        <x:v>84.66</x:v>
      </x:c>
      <x:c r="E71" s="24" t="n">
        <x:v>86.11</x:v>
      </x:c>
      <x:c r="F71" s="24" t="n">
        <x:v>75.36</x:v>
      </x:c>
      <x:c r="G71" s="24" t="n">
        <x:v>7.96</x:v>
      </x:c>
      <x:c r="H71" s="24" t="n">
        <x:v>67.57</x:v>
      </x:c>
      <x:c r="I71" s="24" t="n">
        <x:v>42.72</x:v>
      </x:c>
      <x:c r="J71" s="24" t="n">
        <x:v>12.5</x:v>
      </x:c>
      <x:c r="K71" s="24" t="n">
        <x:v>11.65</x:v>
      </x:c>
      <x:c r="L71" s="24" t="n">
        <x:v>-2.86</x:v>
      </x:c>
      <x:c r="M71" s="24" t="n">
        <x:f>0.35*(100-D71)+0.10*(100-E71)+0.20*(100-I71)+0.15*J71+0.10*G71+0.10*K71+L71</x:f>
        <x:v>19.19</x:v>
      </x:c>
      <x:c r="N71" t="str">
        <x:f>IF(M71&lt;27,"Low",IF(M71&lt;50,"Medium","High"))</x:f>
        <x:v>Low</x:v>
      </x:c>
    </x:row>
    <x:row r="72">
      <x:c r="A72" t="str">
        <x:v>ML069</x:v>
      </x:c>
      <x:c r="B72" s="26" t="n">
        <x:v>5</x:v>
      </x:c>
      <x:c r="C72" s="26" t="n">
        <x:v>8</x:v>
      </x:c>
      <x:c r="D72" s="24" t="n">
        <x:v>84.44</x:v>
      </x:c>
      <x:c r="E72" s="24" t="n">
        <x:v>83.51</x:v>
      </x:c>
      <x:c r="F72" s="24" t="n">
        <x:v>77.95</x:v>
      </x:c>
      <x:c r="G72" s="24" t="n">
        <x:v>4.6</x:v>
      </x:c>
      <x:c r="H72" s="24" t="n">
        <x:v>79.95</x:v>
      </x:c>
      <x:c r="I72" s="24" t="n">
        <x:v>68.16</x:v>
      </x:c>
      <x:c r="J72" s="24" t="n">
        <x:v>0</x:v>
      </x:c>
      <x:c r="K72" s="24" t="n">
        <x:v>7.08</x:v>
      </x:c>
      <x:c r="L72" s="24" t="n">
        <x:v>6.81</x:v>
      </x:c>
      <x:c r="M72" s="24" t="n">
        <x:f>0.35*(100-D72)+0.10*(100-E72)+0.20*(100-I72)+0.15*J72+0.10*G72+0.10*K72+L72</x:f>
        <x:v>21.441000000000003</x:v>
      </x:c>
      <x:c r="N72" t="str">
        <x:f>IF(M72&lt;27,"Low",IF(M72&lt;50,"Medium","High"))</x:f>
        <x:v>Low</x:v>
      </x:c>
    </x:row>
    <x:row r="73">
      <x:c r="A73" t="str">
        <x:v>ML070</x:v>
      </x:c>
      <x:c r="B73" s="26" t="n">
        <x:v>4</x:v>
      </x:c>
      <x:c r="C73" s="26" t="n">
        <x:v>9</x:v>
      </x:c>
      <x:c r="D73" s="24" t="n">
        <x:v>63.31</x:v>
      </x:c>
      <x:c r="E73" s="24" t="n">
        <x:v>65.5</x:v>
      </x:c>
      <x:c r="F73" s="24" t="n">
        <x:v>59.94</x:v>
      </x:c>
      <x:c r="G73" s="24" t="n">
        <x:v>4.91</x:v>
      </x:c>
      <x:c r="H73" s="24" t="n">
        <x:v>61.87</x:v>
      </x:c>
      <x:c r="I73" s="24" t="n">
        <x:v>44.79</x:v>
      </x:c>
      <x:c r="J73" s="24" t="n">
        <x:v>11.11</x:v>
      </x:c>
      <x:c r="K73" s="24" t="n">
        <x:v>9.99</x:v>
      </x:c>
      <x:c r="L73" s="24" t="n">
        <x:v>-2.63</x:v>
      </x:c>
      <x:c r="M73" s="24" t="n">
        <x:f>0.35*(100-D73)+0.10*(100-E73)+0.20*(100-I73)+0.15*J73+0.10*G73+0.10*K73+L73</x:f>
        <x:v>27.86</x:v>
      </x:c>
      <x:c r="N73" t="str">
        <x:f>IF(M73&lt;27,"Low",IF(M73&lt;50,"Medium","High"))</x:f>
        <x:v>Medium</x:v>
      </x:c>
    </x:row>
    <x:row r="74">
      <x:c r="A74" t="str">
        <x:v>ML071</x:v>
      </x:c>
      <x:c r="B74" s="26" t="n">
        <x:v>7</x:v>
      </x:c>
      <x:c r="C74" s="26" t="n">
        <x:v>7</x:v>
      </x:c>
      <x:c r="D74" s="24" t="n">
        <x:v>85.26</x:v>
      </x:c>
      <x:c r="E74" s="24" t="n">
        <x:v>86.83</x:v>
      </x:c>
      <x:c r="F74" s="24" t="n">
        <x:v>82.55</x:v>
      </x:c>
      <x:c r="G74" s="24" t="n">
        <x:v>3.85</x:v>
      </x:c>
      <x:c r="H74" s="24" t="n">
        <x:v>75.21</x:v>
      </x:c>
      <x:c r="I74" s="24" t="n">
        <x:v>50.79</x:v>
      </x:c>
      <x:c r="J74" s="24" t="n">
        <x:v>0</x:v>
      </x:c>
      <x:c r="K74" s="24" t="n">
        <x:v>12.69</x:v>
      </x:c>
      <x:c r="L74" s="24" t="n">
        <x:v>7.11</x:v>
      </x:c>
      <x:c r="M74" s="24" t="n">
        <x:f>0.35*(100-D74)+0.10*(100-E74)+0.20*(100-I74)+0.15*J74+0.10*G74+0.10*K74+L74</x:f>
        <x:v>25.082</x:v>
      </x:c>
      <x:c r="N74" t="str">
        <x:f>IF(M74&lt;27,"Low",IF(M74&lt;50,"Medium","High"))</x:f>
        <x:v>Low</x:v>
      </x:c>
    </x:row>
    <x:row r="75">
      <x:c r="A75" t="str">
        <x:v>ML072</x:v>
      </x:c>
      <x:c r="B75" s="26" t="n">
        <x:v>9</x:v>
      </x:c>
      <x:c r="C75" s="26" t="n">
        <x:v>4</x:v>
      </x:c>
      <x:c r="D75" s="24" t="n">
        <x:v>68.66</x:v>
      </x:c>
      <x:c r="E75" s="24" t="n">
        <x:v>66.1</x:v>
      </x:c>
      <x:c r="F75" s="24" t="n">
        <x:v>60.09</x:v>
      </x:c>
      <x:c r="G75" s="24" t="n">
        <x:v>6.14</x:v>
      </x:c>
      <x:c r="H75" s="24" t="n">
        <x:v>56.38</x:v>
      </x:c>
      <x:c r="I75" s="24" t="n">
        <x:v>44.87</x:v>
      </x:c>
      <x:c r="J75" s="24" t="n">
        <x:v>25</x:v>
      </x:c>
      <x:c r="K75" s="24" t="n">
        <x:v>7.95</x:v>
      </x:c>
      <x:c r="L75" s="24" t="n">
        <x:v>-1.17</x:v>
      </x:c>
      <x:c r="M75" s="24" t="n">
        <x:f>0.35*(100-D75)+0.10*(100-E75)+0.20*(100-I75)+0.15*J75+0.10*G75+0.10*K75+L75</x:f>
        <x:v>29.37400000000001</x:v>
      </x:c>
      <x:c r="N75" t="str">
        <x:f>IF(M75&lt;27,"Low",IF(M75&lt;50,"Medium","High"))</x:f>
        <x:v>Medium</x:v>
      </x:c>
    </x:row>
    <x:row r="76">
      <x:c r="A76" t="str">
        <x:v>ML073</x:v>
      </x:c>
      <x:c r="B76" s="26" t="n">
        <x:v>5</x:v>
      </x:c>
      <x:c r="C76" s="26" t="n">
        <x:v>7</x:v>
      </x:c>
      <x:c r="D76" s="24" t="n">
        <x:v>54.4</x:v>
      </x:c>
      <x:c r="E76" s="24" t="n">
        <x:v>58.38</x:v>
      </x:c>
      <x:c r="F76" s="24" t="n">
        <x:v>41.85</x:v>
      </x:c>
      <x:c r="G76" s="24" t="n">
        <x:v>14.94</x:v>
      </x:c>
      <x:c r="H76" s="24" t="n">
        <x:v>68.05</x:v>
      </x:c>
      <x:c r="I76" s="24" t="n">
        <x:v>59.66</x:v>
      </x:c>
      <x:c r="J76" s="24" t="n">
        <x:v>0</x:v>
      </x:c>
      <x:c r="K76" s="24" t="n">
        <x:v>8.33</x:v>
      </x:c>
      <x:c r="L76" s="24" t="n">
        <x:v>5.25</x:v>
      </x:c>
      <x:c r="M76" s="24" t="n">
        <x:f>0.35*(100-D76)+0.10*(100-E76)+0.20*(100-I76)+0.15*J76+0.10*G76+0.10*K76+L76</x:f>
        <x:v>35.766999999999996</x:v>
      </x:c>
      <x:c r="N76" t="str">
        <x:f>IF(M76&lt;27,"Low",IF(M76&lt;50,"Medium","High"))</x:f>
        <x:v>Medium</x:v>
      </x:c>
    </x:row>
    <x:row r="77">
      <x:c r="A77" t="str">
        <x:v>ML074</x:v>
      </x:c>
      <x:c r="B77" s="26" t="n">
        <x:v>9</x:v>
      </x:c>
      <x:c r="C77" s="26" t="n">
        <x:v>10</x:v>
      </x:c>
      <x:c r="D77" s="24" t="n">
        <x:v>77.01</x:v>
      </x:c>
      <x:c r="E77" s="24" t="n">
        <x:v>77.78</x:v>
      </x:c>
      <x:c r="F77" s="24" t="n">
        <x:v>70.47</x:v>
      </x:c>
      <x:c r="G77" s="24" t="n">
        <x:v>4.62</x:v>
      </x:c>
      <x:c r="H77" s="24" t="n">
        <x:v>76.21</x:v>
      </x:c>
      <x:c r="I77" s="24" t="n">
        <x:v>64.04</x:v>
      </x:c>
      <x:c r="J77" s="24" t="n">
        <x:v>0</x:v>
      </x:c>
      <x:c r="K77" s="24" t="n">
        <x:v>6.19</x:v>
      </x:c>
      <x:c r="L77" s="24" t="n">
        <x:v>-1.66</x:v>
      </x:c>
      <x:c r="M77" s="24" t="n">
        <x:f>0.35*(100-D77)+0.10*(100-E77)+0.20*(100-I77)+0.15*J77+0.10*G77+0.10*K77+L77</x:f>
        <x:v>16.881499999999996</x:v>
      </x:c>
      <x:c r="N77" t="str">
        <x:f>IF(M77&lt;27,"Low",IF(M77&lt;50,"Medium","High"))</x:f>
        <x:v>Low</x:v>
      </x:c>
    </x:row>
    <x:row r="78">
      <x:c r="A78" t="str">
        <x:v>ML075</x:v>
      </x:c>
      <x:c r="B78" s="26" t="n">
        <x:v>7</x:v>
      </x:c>
      <x:c r="C78" s="26" t="n">
        <x:v>4</x:v>
      </x:c>
      <x:c r="D78" s="24" t="n">
        <x:v>78.6</x:v>
      </x:c>
      <x:c r="E78" s="24" t="n">
        <x:v>81.11</x:v>
      </x:c>
      <x:c r="F78" s="24" t="n">
        <x:v>75.73</x:v>
      </x:c>
      <x:c r="G78" s="24" t="n">
        <x:v>5.52</x:v>
      </x:c>
      <x:c r="H78" s="24" t="n">
        <x:v>72.47</x:v>
      </x:c>
      <x:c r="I78" s="24" t="n">
        <x:v>56.46</x:v>
      </x:c>
      <x:c r="J78" s="24" t="n">
        <x:v>0</x:v>
      </x:c>
      <x:c r="K78" s="24" t="n">
        <x:v>12.15</x:v>
      </x:c>
      <x:c r="L78" s="24" t="n">
        <x:v>0.8</x:v>
      </x:c>
      <x:c r="M78" s="24" t="n">
        <x:f>0.35*(100-D78)+0.10*(100-E78)+0.20*(100-I78)+0.15*J78+0.10*G78+0.10*K78+L78</x:f>
        <x:v>20.654000000000003</x:v>
      </x:c>
      <x:c r="N78" t="str">
        <x:f>IF(M78&lt;27,"Low",IF(M78&lt;50,"Medium","High"))</x:f>
        <x:v>Low</x:v>
      </x:c>
    </x:row>
    <x:row r="79">
      <x:c r="A79" t="str">
        <x:v>ML076</x:v>
      </x:c>
      <x:c r="B79" s="26" t="n">
        <x:v>9</x:v>
      </x:c>
      <x:c r="C79" s="26" t="n">
        <x:v>4</x:v>
      </x:c>
      <x:c r="D79" s="24" t="n">
        <x:v>75.61</x:v>
      </x:c>
      <x:c r="E79" s="24" t="n">
        <x:v>74.64</x:v>
      </x:c>
      <x:c r="F79" s="24" t="n">
        <x:v>60.62</x:v>
      </x:c>
      <x:c r="G79" s="24" t="n">
        <x:v>10.22</x:v>
      </x:c>
      <x:c r="H79" s="24" t="n">
        <x:v>86.15</x:v>
      </x:c>
      <x:c r="I79" s="24" t="n">
        <x:v>70.48</x:v>
      </x:c>
      <x:c r="J79" s="24" t="n">
        <x:v>0</x:v>
      </x:c>
      <x:c r="K79" s="24" t="n">
        <x:v>10.51</x:v>
      </x:c>
      <x:c r="L79" s="24" t="n">
        <x:v>4.25</x:v>
      </x:c>
      <x:c r="M79" s="24" t="n">
        <x:f>0.35*(100-D79)+0.10*(100-E79)+0.20*(100-I79)+0.15*J79+0.10*G79+0.10*K79+L79</x:f>
        <x:v>23.2995</x:v>
      </x:c>
      <x:c r="N79" t="str">
        <x:f>IF(M79&lt;27,"Low",IF(M79&lt;50,"Medium","High"))</x:f>
        <x:v>Low</x:v>
      </x:c>
    </x:row>
    <x:row r="80">
      <x:c r="A80" t="str">
        <x:v>ML077</x:v>
      </x:c>
      <x:c r="B80" s="26" t="n">
        <x:v>9</x:v>
      </x:c>
      <x:c r="C80" s="26" t="n">
        <x:v>9</x:v>
      </x:c>
      <x:c r="D80" s="24" t="n">
        <x:v>71.5</x:v>
      </x:c>
      <x:c r="E80" s="24" t="n">
        <x:v>70.93</x:v>
      </x:c>
      <x:c r="F80" s="24" t="n">
        <x:v>57.78</x:v>
      </x:c>
      <x:c r="G80" s="24" t="n">
        <x:v>7.38</x:v>
      </x:c>
      <x:c r="H80" s="24" t="n">
        <x:v>70.22</x:v>
      </x:c>
      <x:c r="I80" s="24" t="n">
        <x:v>56.05</x:v>
      </x:c>
      <x:c r="J80" s="24" t="n">
        <x:v>0</x:v>
      </x:c>
      <x:c r="K80" s="24" t="n">
        <x:v>6.25</x:v>
      </x:c>
      <x:c r="L80" s="24" t="n">
        <x:v>2.92</x:v>
      </x:c>
      <x:c r="M80" s="24" t="n">
        <x:f>0.35*(100-D80)+0.10*(100-E80)+0.20*(100-I80)+0.15*J80+0.10*G80+0.10*K80+L80</x:f>
        <x:v>25.955</x:v>
      </x:c>
      <x:c r="N80" t="str">
        <x:f>IF(M80&lt;27,"Low",IF(M80&lt;50,"Medium","High"))</x:f>
        <x:v>Low</x:v>
      </x:c>
    </x:row>
    <x:row r="81">
      <x:c r="A81" t="str">
        <x:v>ML078</x:v>
      </x:c>
      <x:c r="B81" s="26" t="n">
        <x:v>4</x:v>
      </x:c>
      <x:c r="C81" s="26" t="n">
        <x:v>4</x:v>
      </x:c>
      <x:c r="D81" s="24" t="n">
        <x:v>52.87</x:v>
      </x:c>
      <x:c r="E81" s="24" t="n">
        <x:v>51.85</x:v>
      </x:c>
      <x:c r="F81" s="24" t="n">
        <x:v>42.55</x:v>
      </x:c>
      <x:c r="G81" s="24" t="n">
        <x:v>5.41</x:v>
      </x:c>
      <x:c r="H81" s="24" t="n">
        <x:v>48.15</x:v>
      </x:c>
      <x:c r="I81" s="24" t="n">
        <x:v>28.25</x:v>
      </x:c>
      <x:c r="J81" s="24" t="n">
        <x:v>75</x:v>
      </x:c>
      <x:c r="K81" s="24" t="n">
        <x:v>17.37</x:v>
      </x:c>
      <x:c r="L81" s="24" t="n">
        <x:v>-3.07</x:v>
      </x:c>
      <x:c r="M81" s="24" t="n">
        <x:f>0.35*(100-D81)+0.10*(100-E81)+0.20*(100-I81)+0.15*J81+0.10*G81+0.10*K81+L81</x:f>
        <x:v>46.1185</x:v>
      </x:c>
      <x:c r="N81" t="str">
        <x:f>IF(M81&lt;27,"Low",IF(M81&lt;50,"Medium","High"))</x:f>
        <x:v>Medium</x:v>
      </x:c>
    </x:row>
    <x:row r="82">
      <x:c r="A82" t="str">
        <x:v>ML079</x:v>
      </x:c>
      <x:c r="B82" s="26" t="n">
        <x:v>8</x:v>
      </x:c>
      <x:c r="C82" s="26" t="n">
        <x:v>10</x:v>
      </x:c>
      <x:c r="D82" s="24" t="n">
        <x:v>55.3</x:v>
      </x:c>
      <x:c r="E82" s="24" t="n">
        <x:v>56.42</x:v>
      </x:c>
      <x:c r="F82" s="24" t="n">
        <x:v>41.26</x:v>
      </x:c>
      <x:c r="G82" s="24" t="n">
        <x:v>7.88</x:v>
      </x:c>
      <x:c r="H82" s="24" t="n">
        <x:v>45.96</x:v>
      </x:c>
      <x:c r="I82" s="24" t="n">
        <x:v>31.2</x:v>
      </x:c>
      <x:c r="J82" s="24" t="n">
        <x:v>80</x:v>
      </x:c>
      <x:c r="K82" s="24" t="n">
        <x:v>8.46</x:v>
      </x:c>
      <x:c r="L82" s="24" t="n">
        <x:v>4.07</x:v>
      </x:c>
      <x:c r="M82" s="24" t="n">
        <x:f>0.35*(100-D82)+0.10*(100-E82)+0.20*(100-I82)+0.15*J82+0.10*G82+0.10*K82+L82</x:f>
        <x:v>51.46699999999999</x:v>
      </x:c>
      <x:c r="N82" t="str">
        <x:f>IF(M82&lt;27,"Low",IF(M82&lt;50,"Medium","High"))</x:f>
        <x:v>High</x:v>
      </x:c>
    </x:row>
    <x:row r="83">
      <x:c r="A83" t="str">
        <x:v>ML080</x:v>
      </x:c>
      <x:c r="B83" s="26" t="n">
        <x:v>5</x:v>
      </x:c>
      <x:c r="C83" s="26" t="n">
        <x:v>6</x:v>
      </x:c>
      <x:c r="D83" s="24" t="n">
        <x:v>41.7</x:v>
      </x:c>
      <x:c r="E83" s="24" t="n">
        <x:v>45.32</x:v>
      </x:c>
      <x:c r="F83" s="24" t="n">
        <x:v>39.57</x:v>
      </x:c>
      <x:c r="G83" s="24" t="n">
        <x:v>3.46</x:v>
      </x:c>
      <x:c r="H83" s="24" t="n">
        <x:v>38.26</x:v>
      </x:c>
      <x:c r="I83" s="24" t="n">
        <x:v>24.38</x:v>
      </x:c>
      <x:c r="J83" s="24" t="n">
        <x:v>100</x:v>
      </x:c>
      <x:c r="K83" s="24" t="n">
        <x:v>9.41</x:v>
      </x:c>
      <x:c r="L83" s="24" t="n">
        <x:v>0.89</x:v>
      </x:c>
      <x:c r="M83" s="24" t="n">
        <x:f>0.35*(100-D83)+0.10*(100-E83)+0.20*(100-I83)+0.15*J83+0.10*G83+0.10*K83+L83</x:f>
        <x:v>58.174</x:v>
      </x:c>
      <x:c r="N83" t="str">
        <x:f>IF(M83&lt;27,"Low",IF(M83&lt;50,"Medium","High"))</x:f>
        <x:v>High</x:v>
      </x:c>
    </x:row>
    <x:row r="84">
      <x:c r="A84" t="str">
        <x:v>ML081</x:v>
      </x:c>
      <x:c r="B84" s="26" t="n">
        <x:v>7</x:v>
      </x:c>
      <x:c r="C84" s="26" t="n">
        <x:v>4</x:v>
      </x:c>
      <x:c r="D84" s="24" t="n">
        <x:v>66.8</x:v>
      </x:c>
      <x:c r="E84" s="24" t="n">
        <x:v>65.96</x:v>
      </x:c>
      <x:c r="F84" s="24" t="n">
        <x:v>54.51</x:v>
      </x:c>
      <x:c r="G84" s="24" t="n">
        <x:v>7.85</x:v>
      </x:c>
      <x:c r="H84" s="24" t="n">
        <x:v>65.13</x:v>
      </x:c>
      <x:c r="I84" s="24" t="n">
        <x:v>44.61</x:v>
      </x:c>
      <x:c r="J84" s="24" t="n">
        <x:v>25</x:v>
      </x:c>
      <x:c r="K84" s="24" t="n">
        <x:v>11.92</x:v>
      </x:c>
      <x:c r="L84" s="24" t="n">
        <x:v>4.02</x:v>
      </x:c>
      <x:c r="M84" s="24" t="n">
        <x:f>0.35*(100-D84)+0.10*(100-E84)+0.20*(100-I84)+0.15*J84+0.10*G84+0.10*K84+L84</x:f>
        <x:v>35.849000000000004</x:v>
      </x:c>
      <x:c r="N84" t="str">
        <x:f>IF(M84&lt;27,"Low",IF(M84&lt;50,"Medium","High"))</x:f>
        <x:v>Medium</x:v>
      </x:c>
    </x:row>
    <x:row r="85">
      <x:c r="A85" t="str">
        <x:v>ML082</x:v>
      </x:c>
      <x:c r="B85" s="26" t="n">
        <x:v>9</x:v>
      </x:c>
      <x:c r="C85" s="26" t="n">
        <x:v>7</x:v>
      </x:c>
      <x:c r="D85" s="24" t="n">
        <x:v>64.76</x:v>
      </x:c>
      <x:c r="E85" s="24" t="n">
        <x:v>63.24</x:v>
      </x:c>
      <x:c r="F85" s="24" t="n">
        <x:v>55.45</x:v>
      </x:c>
      <x:c r="G85" s="24" t="n">
        <x:v>6.18</x:v>
      </x:c>
      <x:c r="H85" s="24" t="n">
        <x:v>58.66</x:v>
      </x:c>
      <x:c r="I85" s="24" t="n">
        <x:v>37.59</x:v>
      </x:c>
      <x:c r="J85" s="24" t="n">
        <x:v>14.29</x:v>
      </x:c>
      <x:c r="K85" s="24" t="n">
        <x:v>10.06</x:v>
      </x:c>
      <x:c r="L85" s="24" t="n">
        <x:v>-1.95</x:v>
      </x:c>
      <x:c r="M85" s="24" t="n">
        <x:f>0.35*(100-D85)+0.10*(100-E85)+0.20*(100-I85)+0.15*J85+0.10*G85+0.10*K85+L85</x:f>
        <x:v>30.309499999999996</x:v>
      </x:c>
      <x:c r="N85" t="str">
        <x:f>IF(M85&lt;27,"Low",IF(M85&lt;50,"Medium","High"))</x:f>
        <x:v>Medium</x:v>
      </x:c>
    </x:row>
    <x:row r="86">
      <x:c r="A86" t="str">
        <x:v>ML083</x:v>
      </x:c>
      <x:c r="B86" s="26" t="n">
        <x:v>9</x:v>
      </x:c>
      <x:c r="C86" s="26" t="n">
        <x:v>6</x:v>
      </x:c>
      <x:c r="D86" s="24" t="n">
        <x:v>34.28</x:v>
      </x:c>
      <x:c r="E86" s="24" t="n">
        <x:v>34.81</x:v>
      </x:c>
      <x:c r="F86" s="24" t="n">
        <x:v>24.37</x:v>
      </x:c>
      <x:c r="G86" s="24" t="n">
        <x:v>6.53</x:v>
      </x:c>
      <x:c r="H86" s="24" t="n">
        <x:v>37.06</x:v>
      </x:c>
      <x:c r="I86" s="24" t="n">
        <x:v>26.24</x:v>
      </x:c>
      <x:c r="J86" s="24" t="n">
        <x:v>83.33</x:v>
      </x:c>
      <x:c r="K86" s="24" t="n">
        <x:v>9.59</x:v>
      </x:c>
      <x:c r="L86" s="24" t="n">
        <x:v>0.48</x:v>
      </x:c>
      <x:c r="M86" s="24" t="n">
        <x:f>0.35*(100-D86)+0.10*(100-E86)+0.20*(100-I86)+0.15*J86+0.10*G86+0.10*K86+L86</x:f>
        <x:v>58.8645</x:v>
      </x:c>
      <x:c r="N86" t="str">
        <x:f>IF(M86&lt;27,"Low",IF(M86&lt;50,"Medium","High"))</x:f>
        <x:v>High</x:v>
      </x:c>
    </x:row>
    <x:row r="87">
      <x:c r="A87" t="str">
        <x:v>ML084</x:v>
      </x:c>
      <x:c r="B87" s="26" t="n">
        <x:v>6</x:v>
      </x:c>
      <x:c r="C87" s="26" t="n">
        <x:v>8</x:v>
      </x:c>
      <x:c r="D87" s="24" t="n">
        <x:v>85.69</x:v>
      </x:c>
      <x:c r="E87" s="24" t="n">
        <x:v>85.43</x:v>
      </x:c>
      <x:c r="F87" s="24" t="n">
        <x:v>68.18</x:v>
      </x:c>
      <x:c r="G87" s="24" t="n">
        <x:v>10.58</x:v>
      </x:c>
      <x:c r="H87" s="24" t="n">
        <x:v>85.04</x:v>
      </x:c>
      <x:c r="I87" s="24" t="n">
        <x:v>73.96</x:v>
      </x:c>
      <x:c r="J87" s="24" t="n">
        <x:v>0</x:v>
      </x:c>
      <x:c r="K87" s="24" t="n">
        <x:v>5.39</x:v>
      </x:c>
      <x:c r="L87" s="24" t="n">
        <x:v>5.91</x:v>
      </x:c>
      <x:c r="M87" s="24" t="n">
        <x:f>0.35*(100-D87)+0.10*(100-E87)+0.20*(100-I87)+0.15*J87+0.10*G87+0.10*K87+L87</x:f>
        <x:v>19.180500000000002</x:v>
      </x:c>
      <x:c r="N87" t="str">
        <x:f>IF(M87&lt;27,"Low",IF(M87&lt;50,"Medium","High"))</x:f>
        <x:v>Low</x:v>
      </x:c>
    </x:row>
    <x:row r="88">
      <x:c r="A88" t="str">
        <x:v>ML085</x:v>
      </x:c>
      <x:c r="B88" s="26" t="n">
        <x:v>7</x:v>
      </x:c>
      <x:c r="C88" s="26" t="n">
        <x:v>5</x:v>
      </x:c>
      <x:c r="D88" s="24" t="n">
        <x:v>86.44</x:v>
      </x:c>
      <x:c r="E88" s="24" t="n">
        <x:v>86.27</x:v>
      </x:c>
      <x:c r="F88" s="24" t="n">
        <x:v>78.53</x:v>
      </x:c>
      <x:c r="G88" s="24" t="n">
        <x:v>3.67</x:v>
      </x:c>
      <x:c r="H88" s="24" t="n">
        <x:v>71.06</x:v>
      </x:c>
      <x:c r="I88" s="24" t="n">
        <x:v>53.25</x:v>
      </x:c>
      <x:c r="J88" s="24" t="n">
        <x:v>0</x:v>
      </x:c>
      <x:c r="K88" s="24" t="n">
        <x:v>12.6</x:v>
      </x:c>
      <x:c r="L88" s="24" t="n">
        <x:v>0.44</x:v>
      </x:c>
      <x:c r="M88" s="24" t="n">
        <x:f>0.35*(100-D88)+0.10*(100-E88)+0.20*(100-I88)+0.15*J88+0.10*G88+0.10*K88+L88</x:f>
        <x:v>17.536000000000005</x:v>
      </x:c>
      <x:c r="N88" t="str">
        <x:f>IF(M88&lt;27,"Low",IF(M88&lt;50,"Medium","High"))</x:f>
        <x:v>Low</x:v>
      </x:c>
    </x:row>
    <x:row r="89">
      <x:c r="A89" t="str">
        <x:v>ML086</x:v>
      </x:c>
      <x:c r="B89" s="26" t="n">
        <x:v>5</x:v>
      </x:c>
      <x:c r="C89" s="26" t="n">
        <x:v>6</x:v>
      </x:c>
      <x:c r="D89" s="24" t="n">
        <x:v>71.32</x:v>
      </x:c>
      <x:c r="E89" s="24" t="n">
        <x:v>74.24</x:v>
      </x:c>
      <x:c r="F89" s="24" t="n">
        <x:v>62.58</x:v>
      </x:c>
      <x:c r="G89" s="24" t="n">
        <x:v>7.64</x:v>
      </x:c>
      <x:c r="H89" s="24" t="n">
        <x:v>76.3</x:v>
      </x:c>
      <x:c r="I89" s="24" t="n">
        <x:v>52.13</x:v>
      </x:c>
      <x:c r="J89" s="24" t="n">
        <x:v>0</x:v>
      </x:c>
      <x:c r="K89" s="24" t="n">
        <x:v>13.93</x:v>
      </x:c>
      <x:c r="L89" s="24" t="n">
        <x:v>2.04</x:v>
      </x:c>
      <x:c r="M89" s="24" t="n">
        <x:f>0.35*(100-D89)+0.10*(100-E89)+0.20*(100-I89)+0.15*J89+0.10*G89+0.10*K89+L89</x:f>
        <x:v>26.385</x:v>
      </x:c>
      <x:c r="N89" t="str">
        <x:f>IF(M89&lt;27,"Low",IF(M89&lt;50,"Medium","High"))</x:f>
        <x:v>Low</x:v>
      </x:c>
    </x:row>
    <x:row r="90">
      <x:c r="A90" t="str">
        <x:v>ML087</x:v>
      </x:c>
      <x:c r="B90" s="26" t="n">
        <x:v>8</x:v>
      </x:c>
      <x:c r="C90" s="26" t="n">
        <x:v>7</x:v>
      </x:c>
      <x:c r="D90" s="24" t="n">
        <x:v>31.89</x:v>
      </x:c>
      <x:c r="E90" s="24" t="n">
        <x:v>33.48</x:v>
      </x:c>
      <x:c r="F90" s="24" t="n">
        <x:v>19.16</x:v>
      </x:c>
      <x:c r="G90" s="24" t="n">
        <x:v>9.14</x:v>
      </x:c>
      <x:c r="H90" s="24" t="n">
        <x:v>27.01</x:v>
      </x:c>
      <x:c r="I90" s="24" t="n">
        <x:v>6.14</x:v>
      </x:c>
      <x:c r="J90" s="24" t="n">
        <x:v>100</x:v>
      </x:c>
      <x:c r="K90" s="24" t="n">
        <x:v>14.24</x:v>
      </x:c>
      <x:c r="L90" s="24" t="n">
        <x:v>9.85</x:v>
      </x:c>
      <x:c r="M90" s="24" t="n">
        <x:f>0.35*(100-D90)+0.10*(100-E90)+0.20*(100-I90)+0.15*J90+0.10*G90+0.10*K90+L90</x:f>
        <x:v>76.4505</x:v>
      </x:c>
      <x:c r="N90" t="str">
        <x:f>IF(M90&lt;27,"Low",IF(M90&lt;50,"Medium","High"))</x:f>
        <x:v>High</x:v>
      </x:c>
    </x:row>
    <x:row r="91">
      <x:c r="A91" t="str">
        <x:v>ML088</x:v>
      </x:c>
      <x:c r="B91" s="26" t="n">
        <x:v>6</x:v>
      </x:c>
      <x:c r="C91" s="26" t="n">
        <x:v>7</x:v>
      </x:c>
      <x:c r="D91" s="24" t="n">
        <x:v>69.73</x:v>
      </x:c>
      <x:c r="E91" s="24" t="n">
        <x:v>72.4</x:v>
      </x:c>
      <x:c r="F91" s="24" t="n">
        <x:v>51.74</x:v>
      </x:c>
      <x:c r="G91" s="24" t="n">
        <x:v>11.59</x:v>
      </x:c>
      <x:c r="H91" s="24" t="n">
        <x:v>71.81</x:v>
      </x:c>
      <x:c r="I91" s="24" t="n">
        <x:v>59.32</x:v>
      </x:c>
      <x:c r="J91" s="24" t="n">
        <x:v>0</x:v>
      </x:c>
      <x:c r="K91" s="24" t="n">
        <x:v>10.29</x:v>
      </x:c>
      <x:c r="L91" s="24" t="n">
        <x:v>-5.53</x:v>
      </x:c>
      <x:c r="M91" s="24" t="n">
        <x:f>0.35*(100-D91)+0.10*(100-E91)+0.20*(100-I91)+0.15*J91+0.10*G91+0.10*K91+L91</x:f>
        <x:v>18.148499999999995</x:v>
      </x:c>
      <x:c r="N91" t="str">
        <x:f>IF(M91&lt;27,"Low",IF(M91&lt;50,"Medium","High"))</x:f>
        <x:v>Low</x:v>
      </x:c>
    </x:row>
    <x:row r="92">
      <x:c r="A92" t="str">
        <x:v>ML089</x:v>
      </x:c>
      <x:c r="B92" s="26" t="n">
        <x:v>8</x:v>
      </x:c>
      <x:c r="C92" s="26" t="n">
        <x:v>4</x:v>
      </x:c>
      <x:c r="D92" s="24" t="n">
        <x:v>79.57</x:v>
      </x:c>
      <x:c r="E92" s="24" t="n">
        <x:v>83.14</x:v>
      </x:c>
      <x:c r="F92" s="24" t="n">
        <x:v>71.85</x:v>
      </x:c>
      <x:c r="G92" s="24" t="n">
        <x:v>7.9</x:v>
      </x:c>
      <x:c r="H92" s="24" t="n">
        <x:v>80.96</x:v>
      </x:c>
      <x:c r="I92" s="24" t="n">
        <x:v>62.86</x:v>
      </x:c>
      <x:c r="J92" s="24" t="n">
        <x:v>0</x:v>
      </x:c>
      <x:c r="K92" s="24" t="n">
        <x:v>11.58</x:v>
      </x:c>
      <x:c r="L92" s="24" t="n">
        <x:v>-0.78</x:v>
      </x:c>
      <x:c r="M92" s="24" t="n">
        <x:f>0.35*(100-D92)+0.10*(100-E92)+0.20*(100-I92)+0.15*J92+0.10*G92+0.10*K92+L92</x:f>
        <x:v>17.4325</x:v>
      </x:c>
      <x:c r="N92" t="str">
        <x:f>IF(M92&lt;27,"Low",IF(M92&lt;50,"Medium","High"))</x:f>
        <x:v>Low</x:v>
      </x:c>
    </x:row>
    <x:row r="93">
      <x:c r="A93" t="str">
        <x:v>ML090</x:v>
      </x:c>
      <x:c r="B93" s="26" t="n">
        <x:v>4</x:v>
      </x:c>
      <x:c r="C93" s="26" t="n">
        <x:v>7</x:v>
      </x:c>
      <x:c r="D93" s="24" t="n">
        <x:v>58.27</x:v>
      </x:c>
      <x:c r="E93" s="24" t="n">
        <x:v>56</x:v>
      </x:c>
      <x:c r="F93" s="24" t="n">
        <x:v>45.46</x:v>
      </x:c>
      <x:c r="G93" s="24" t="n">
        <x:v>6.25</x:v>
      </x:c>
      <x:c r="H93" s="24" t="n">
        <x:v>46.09</x:v>
      </x:c>
      <x:c r="I93" s="24" t="n">
        <x:v>22.93</x:v>
      </x:c>
      <x:c r="J93" s="24" t="n">
        <x:v>57.14</x:v>
      </x:c>
      <x:c r="K93" s="24" t="n">
        <x:v>10.6</x:v>
      </x:c>
      <x:c r="L93" s="24" t="n">
        <x:v>-0.85</x:v>
      </x:c>
      <x:c r="M93" s="24" t="n">
        <x:f>0.35*(100-D93)+0.10*(100-E93)+0.20*(100-I93)+0.15*J93+0.10*G93+0.10*K93+L93</x:f>
        <x:v>43.8255</x:v>
      </x:c>
      <x:c r="N93" t="str">
        <x:f>IF(M93&lt;27,"Low",IF(M93&lt;50,"Medium","High"))</x:f>
        <x:v>Medium</x:v>
      </x:c>
    </x:row>
    <x:row r="94">
      <x:c r="A94" t="str">
        <x:v>ML091</x:v>
      </x:c>
      <x:c r="B94" s="26" t="n">
        <x:v>7</x:v>
      </x:c>
      <x:c r="C94" s="26" t="n">
        <x:v>9</x:v>
      </x:c>
      <x:c r="D94" s="24" t="n">
        <x:v>81.22</x:v>
      </x:c>
      <x:c r="E94" s="24" t="n">
        <x:v>80.1</x:v>
      </x:c>
      <x:c r="F94" s="24" t="n">
        <x:v>65.78</x:v>
      </x:c>
      <x:c r="G94" s="24" t="n">
        <x:v>10.41</x:v>
      </x:c>
      <x:c r="H94" s="24" t="n">
        <x:v>77.79</x:v>
      </x:c>
      <x:c r="I94" s="24" t="n">
        <x:v>65.31</x:v>
      </x:c>
      <x:c r="J94" s="24" t="n">
        <x:v>0</x:v>
      </x:c>
      <x:c r="K94" s="24" t="n">
        <x:v>6.04</x:v>
      </x:c>
      <x:c r="L94" s="24" t="n">
        <x:v>4.57</x:v>
      </x:c>
      <x:c r="M94" s="24" t="n">
        <x:f>0.35*(100-D94)+0.10*(100-E94)+0.20*(100-I94)+0.15*J94+0.10*G94+0.10*K94+L94</x:f>
        <x:v>21.716</x:v>
      </x:c>
      <x:c r="N94" t="str">
        <x:f>IF(M94&lt;27,"Low",IF(M94&lt;50,"Medium","High"))</x:f>
        <x:v>Low</x:v>
      </x:c>
    </x:row>
    <x:row r="95">
      <x:c r="A95" t="str">
        <x:v>ML092</x:v>
      </x:c>
      <x:c r="B95" s="26" t="n">
        <x:v>4</x:v>
      </x:c>
      <x:c r="C95" s="26" t="n">
        <x:v>6</x:v>
      </x:c>
      <x:c r="D95" s="24" t="n">
        <x:v>66.08</x:v>
      </x:c>
      <x:c r="E95" s="24" t="n">
        <x:v>65.62</x:v>
      </x:c>
      <x:c r="F95" s="24" t="n">
        <x:v>54.77</x:v>
      </x:c>
      <x:c r="G95" s="24" t="n">
        <x:v>7.43</x:v>
      </x:c>
      <x:c r="H95" s="24" t="n">
        <x:v>63.29</x:v>
      </x:c>
      <x:c r="I95" s="24" t="n">
        <x:v>53.77</x:v>
      </x:c>
      <x:c r="J95" s="24" t="n">
        <x:v>0</x:v>
      </x:c>
      <x:c r="K95" s="24" t="n">
        <x:v>7.92</x:v>
      </x:c>
      <x:c r="L95" s="24" t="n">
        <x:v>-5.96</x:v>
      </x:c>
      <x:c r="M95" s="24" t="n">
        <x:f>0.35*(100-D95)+0.10*(100-E95)+0.20*(100-I95)+0.15*J95+0.10*G95+0.10*K95+L95</x:f>
        <x:v>20.130999999999997</x:v>
      </x:c>
      <x:c r="N95" t="str">
        <x:f>IF(M95&lt;27,"Low",IF(M95&lt;50,"Medium","High"))</x:f>
        <x:v>Low</x:v>
      </x:c>
    </x:row>
    <x:row r="96">
      <x:c r="A96" t="str">
        <x:v>ML093</x:v>
      </x:c>
      <x:c r="B96" s="26" t="n">
        <x:v>4</x:v>
      </x:c>
      <x:c r="C96" s="26" t="n">
        <x:v>5</x:v>
      </x:c>
      <x:c r="D96" s="24" t="n">
        <x:v>54.71</x:v>
      </x:c>
      <x:c r="E96" s="24" t="n">
        <x:v>54.79</x:v>
      </x:c>
      <x:c r="F96" s="24" t="n">
        <x:v>47.3</x:v>
      </x:c>
      <x:c r="G96" s="24" t="n">
        <x:v>5.11</x:v>
      </x:c>
      <x:c r="H96" s="24" t="n">
        <x:v>54.12</x:v>
      </x:c>
      <x:c r="I96" s="24" t="n">
        <x:v>31.55</x:v>
      </x:c>
      <x:c r="J96" s="24" t="n">
        <x:v>40</x:v>
      </x:c>
      <x:c r="K96" s="24" t="n">
        <x:v>16.67</x:v>
      </x:c>
      <x:c r="L96" s="24" t="n">
        <x:v>-2.13</x:v>
      </x:c>
      <x:c r="M96" s="24" t="n">
        <x:f>0.35*(100-D96)+0.10*(100-E96)+0.20*(100-I96)+0.15*J96+0.10*G96+0.10*K96+L96</x:f>
        <x:v>40.1105</x:v>
      </x:c>
      <x:c r="N96" t="str">
        <x:f>IF(M96&lt;27,"Low",IF(M96&lt;50,"Medium","High"))</x:f>
        <x:v>Medium</x:v>
      </x:c>
    </x:row>
    <x:row r="97">
      <x:c r="A97" t="str">
        <x:v>ML094</x:v>
      </x:c>
      <x:c r="B97" s="26" t="n">
        <x:v>5</x:v>
      </x:c>
      <x:c r="C97" s="26" t="n">
        <x:v>5</x:v>
      </x:c>
      <x:c r="D97" s="24" t="n">
        <x:v>71.42</x:v>
      </x:c>
      <x:c r="E97" s="24" t="n">
        <x:v>69.53</x:v>
      </x:c>
      <x:c r="F97" s="24" t="n">
        <x:v>49.39</x:v>
      </x:c>
      <x:c r="G97" s="24" t="n">
        <x:v>12.42</x:v>
      </x:c>
      <x:c r="H97" s="24" t="n">
        <x:v>64.28</x:v>
      </x:c>
      <x:c r="I97" s="24" t="n">
        <x:v>53.44</x:v>
      </x:c>
      <x:c r="J97" s="24" t="n">
        <x:v>0</x:v>
      </x:c>
      <x:c r="K97" s="24" t="n">
        <x:v>10.04</x:v>
      </x:c>
      <x:c r="L97" s="24" t="n">
        <x:v>-1.5</x:v>
      </x:c>
      <x:c r="M97" s="24" t="n">
        <x:f>0.35*(100-D97)+0.10*(100-E97)+0.20*(100-I97)+0.15*J97+0.10*G97+0.10*K97+L97</x:f>
        <x:v>23.108000000000004</x:v>
      </x:c>
      <x:c r="N97" t="str">
        <x:f>IF(M97&lt;27,"Low",IF(M97&lt;50,"Medium","High"))</x:f>
        <x:v>Low</x:v>
      </x:c>
    </x:row>
    <x:row r="98">
      <x:c r="A98" t="str">
        <x:v>ML095</x:v>
      </x:c>
      <x:c r="B98" s="26" t="n">
        <x:v>9</x:v>
      </x:c>
      <x:c r="C98" s="26" t="n">
        <x:v>6</x:v>
      </x:c>
      <x:c r="D98" s="24" t="n">
        <x:v>72.41</x:v>
      </x:c>
      <x:c r="E98" s="24" t="n">
        <x:v>73.86</x:v>
      </x:c>
      <x:c r="F98" s="24" t="n">
        <x:v>53.66</x:v>
      </x:c>
      <x:c r="G98" s="24" t="n">
        <x:v>11.48</x:v>
      </x:c>
      <x:c r="H98" s="24" t="n">
        <x:v>64.59</x:v>
      </x:c>
      <x:c r="I98" s="24" t="n">
        <x:v>47.39</x:v>
      </x:c>
      <x:c r="J98" s="24" t="n">
        <x:v>16.67</x:v>
      </x:c>
      <x:c r="K98" s="24" t="n">
        <x:v>10.46</x:v>
      </x:c>
      <x:c r="L98" s="24" t="n">
        <x:v>-3.24</x:v>
      </x:c>
      <x:c r="M98" s="24" t="n">
        <x:f>0.35*(100-D98)+0.10*(100-E98)+0.20*(100-I98)+0.15*J98+0.10*G98+0.10*K98+L98</x:f>
        <x:v>24.247</x:v>
      </x:c>
      <x:c r="N98" t="str">
        <x:f>IF(M98&lt;27,"Low",IF(M98&lt;50,"Medium","High"))</x:f>
        <x:v>Low</x:v>
      </x:c>
    </x:row>
    <x:row r="99">
      <x:c r="A99" t="str">
        <x:v>ML096</x:v>
      </x:c>
      <x:c r="B99" s="26" t="n">
        <x:v>9</x:v>
      </x:c>
      <x:c r="C99" s="26" t="n">
        <x:v>9</x:v>
      </x:c>
      <x:c r="D99" s="24" t="n">
        <x:v>77.2</x:v>
      </x:c>
      <x:c r="E99" s="24" t="n">
        <x:v>76.16</x:v>
      </x:c>
      <x:c r="F99" s="24" t="n">
        <x:v>61.63</x:v>
      </x:c>
      <x:c r="G99" s="24" t="n">
        <x:v>8.4</x:v>
      </x:c>
      <x:c r="H99" s="24" t="n">
        <x:v>70.52</x:v>
      </x:c>
      <x:c r="I99" s="24" t="n">
        <x:v>56.44</x:v>
      </x:c>
      <x:c r="J99" s="24" t="n">
        <x:v>0</x:v>
      </x:c>
      <x:c r="K99" s="24" t="n">
        <x:v>8.59</x:v>
      </x:c>
      <x:c r="L99" s="24" t="n">
        <x:v>1.41</x:v>
      </x:c>
      <x:c r="M99" s="24" t="n">
        <x:f>0.35*(100-D99)+0.10*(100-E99)+0.20*(100-I99)+0.15*J99+0.10*G99+0.10*K99+L99</x:f>
        <x:v>22.185</x:v>
      </x:c>
      <x:c r="N99" t="str">
        <x:f>IF(M99&lt;27,"Low",IF(M99&lt;50,"Medium","High"))</x:f>
        <x:v>Low</x:v>
      </x:c>
    </x:row>
    <x:row r="100">
      <x:c r="A100" t="str">
        <x:v>ML097</x:v>
      </x:c>
      <x:c r="B100" s="26" t="n">
        <x:v>7</x:v>
      </x:c>
      <x:c r="C100" s="26" t="n">
        <x:v>5</x:v>
      </x:c>
      <x:c r="D100" s="24" t="n">
        <x:v>68.31</x:v>
      </x:c>
      <x:c r="E100" s="24" t="n">
        <x:v>70.56</x:v>
      </x:c>
      <x:c r="F100" s="24" t="n">
        <x:v>62.94</x:v>
      </x:c>
      <x:c r="G100" s="24" t="n">
        <x:v>5.38</x:v>
      </x:c>
      <x:c r="H100" s="24" t="n">
        <x:v>71</x:v>
      </x:c>
      <x:c r="I100" s="24" t="n">
        <x:v>58.37</x:v>
      </x:c>
      <x:c r="J100" s="24" t="n">
        <x:v>0</x:v>
      </x:c>
      <x:c r="K100" s="24" t="n">
        <x:v>11.49</x:v>
      </x:c>
      <x:c r="L100" s="24" t="n">
        <x:v>1.5</x:v>
      </x:c>
      <x:c r="M100" s="24" t="n">
        <x:f>0.35*(100-D100)+0.10*(100-E100)+0.20*(100-I100)+0.15*J100+0.10*G100+0.10*K100+L100</x:f>
        <x:v>25.5485</x:v>
      </x:c>
      <x:c r="N100" t="str">
        <x:f>IF(M100&lt;27,"Low",IF(M100&lt;50,"Medium","High"))</x:f>
        <x:v>Low</x:v>
      </x:c>
    </x:row>
    <x:row r="101">
      <x:c r="A101" t="str">
        <x:v>ML098</x:v>
      </x:c>
      <x:c r="B101" s="26" t="n">
        <x:v>6</x:v>
      </x:c>
      <x:c r="C101" s="26" t="n">
        <x:v>7</x:v>
      </x:c>
      <x:c r="D101" s="24" t="n">
        <x:v>72.1</x:v>
      </x:c>
      <x:c r="E101" s="24" t="n">
        <x:v>74.34</x:v>
      </x:c>
      <x:c r="F101" s="24" t="n">
        <x:v>58.15</x:v>
      </x:c>
      <x:c r="G101" s="24" t="n">
        <x:v>11.46</x:v>
      </x:c>
      <x:c r="H101" s="24" t="n">
        <x:v>65.34</x:v>
      </x:c>
      <x:c r="I101" s="24" t="n">
        <x:v>49.12</x:v>
      </x:c>
      <x:c r="J101" s="24" t="n">
        <x:v>14.29</x:v>
      </x:c>
      <x:c r="K101" s="24" t="n">
        <x:v>8.79</x:v>
      </x:c>
      <x:c r="L101" s="24" t="n">
        <x:v>-3.01</x:v>
      </x:c>
      <x:c r="M101" s="24" t="n">
        <x:f>0.35*(100-D101)+0.10*(100-E101)+0.20*(100-I101)+0.15*J101+0.10*G101+0.10*K101+L101</x:f>
        <x:v>23.6655</x:v>
      </x:c>
      <x:c r="N101" t="str">
        <x:f>IF(M101&lt;27,"Low",IF(M101&lt;50,"Medium","High"))</x:f>
        <x:v>Low</x:v>
      </x:c>
    </x:row>
    <x:row r="102">
      <x:c r="A102" t="str">
        <x:v>ML099</x:v>
      </x:c>
      <x:c r="B102" s="26" t="n">
        <x:v>4</x:v>
      </x:c>
      <x:c r="C102" s="26" t="n">
        <x:v>7</x:v>
      </x:c>
      <x:c r="D102" s="24" t="n">
        <x:v>84.16</x:v>
      </x:c>
      <x:c r="E102" s="24" t="n">
        <x:v>85.17</x:v>
      </x:c>
      <x:c r="F102" s="24" t="n">
        <x:v>83.19</x:v>
      </x:c>
      <x:c r="G102" s="24" t="n">
        <x:v>1.46</x:v>
      </x:c>
      <x:c r="H102" s="24" t="n">
        <x:v>86.6</x:v>
      </x:c>
      <x:c r="I102" s="24" t="n">
        <x:v>76.06</x:v>
      </x:c>
      <x:c r="J102" s="24" t="n">
        <x:v>0</x:v>
      </x:c>
      <x:c r="K102" s="24" t="n">
        <x:v>6.26</x:v>
      </x:c>
      <x:c r="L102" s="24" t="n">
        <x:v>5.41</x:v>
      </x:c>
      <x:c r="M102" s="24" t="n">
        <x:f>0.35*(100-D102)+0.10*(100-E102)+0.20*(100-I102)+0.15*J102+0.10*G102+0.10*K102+L102</x:f>
        <x:v>17.997</x:v>
      </x:c>
      <x:c r="N102" t="str">
        <x:f>IF(M102&lt;27,"Low",IF(M102&lt;50,"Medium","High"))</x:f>
        <x:v>Low</x:v>
      </x:c>
    </x:row>
    <x:row r="103">
      <x:c r="A103" t="str">
        <x:v>ML100</x:v>
      </x:c>
      <x:c r="B103" s="26" t="n">
        <x:v>5</x:v>
      </x:c>
      <x:c r="C103" s="26" t="n">
        <x:v>6</x:v>
      </x:c>
      <x:c r="D103" s="24" t="n">
        <x:v>15.25</x:v>
      </x:c>
      <x:c r="E103" s="24" t="n">
        <x:v>17.95</x:v>
      </x:c>
      <x:c r="F103" s="24" t="n">
        <x:v>5.88</x:v>
      </x:c>
      <x:c r="G103" s="24" t="n">
        <x:v>12.84</x:v>
      </x:c>
      <x:c r="H103" s="24" t="n">
        <x:v>16.42</x:v>
      </x:c>
      <x:c r="I103" s="24" t="n">
        <x:v>8.66</x:v>
      </x:c>
      <x:c r="J103" s="24" t="n">
        <x:v>100</x:v>
      </x:c>
      <x:c r="K103" s="24" t="n">
        <x:v>7.51</x:v>
      </x:c>
      <x:c r="L103" s="24" t="n">
        <x:v>1.39</x:v>
      </x:c>
      <x:c r="M103" s="24" t="n">
        <x:f>0.35*(100-D103)+0.10*(100-E103)+0.20*(100-I103)+0.15*J103+0.10*G103+0.10*K103+L103</x:f>
        <x:v>74.56050000000002</x:v>
      </x:c>
      <x:c r="N103" t="str">
        <x:f>IF(M103&lt;27,"Low",IF(M103&lt;50,"Medium","High"))</x:f>
        <x:v>High</x:v>
      </x:c>
    </x:row>
    <x:row r="104">
      <x:c r="A104" t="str">
        <x:v>ML101</x:v>
      </x:c>
      <x:c r="B104" s="26" t="n">
        <x:v>7</x:v>
      </x:c>
      <x:c r="C104" s="26" t="n">
        <x:v>7</x:v>
      </x:c>
      <x:c r="D104" s="24" t="n">
        <x:v>33.14</x:v>
      </x:c>
      <x:c r="E104" s="24" t="n">
        <x:v>35.98</x:v>
      </x:c>
      <x:c r="F104" s="24" t="n">
        <x:v>30.94</x:v>
      </x:c>
      <x:c r="G104" s="24" t="n">
        <x:v>2.92</x:v>
      </x:c>
      <x:c r="H104" s="24" t="n">
        <x:v>29.7</x:v>
      </x:c>
      <x:c r="I104" s="24" t="n">
        <x:v>17.12</x:v>
      </x:c>
      <x:c r="J104" s="24" t="n">
        <x:v>100</x:v>
      </x:c>
      <x:c r="K104" s="24" t="n">
        <x:v>9.51</x:v>
      </x:c>
      <x:c r="L104" s="24" t="n">
        <x:v>-1.15</x:v>
      </x:c>
      <x:c r="M104" s="24" t="n">
        <x:f>0.35*(100-D104)+0.10*(100-E104)+0.20*(100-I104)+0.15*J104+0.10*G104+0.10*K104+L104</x:f>
        <x:v>61.47200000000001</x:v>
      </x:c>
      <x:c r="N104" t="str">
        <x:f>IF(M104&lt;27,"Low",IF(M104&lt;50,"Medium","High"))</x:f>
        <x:v>High</x:v>
      </x:c>
    </x:row>
    <x:row r="105">
      <x:c r="A105" t="str">
        <x:v>ML102</x:v>
      </x:c>
      <x:c r="B105" s="26" t="n">
        <x:v>5</x:v>
      </x:c>
      <x:c r="C105" s="26" t="n">
        <x:v>5</x:v>
      </x:c>
      <x:c r="D105" s="24" t="n">
        <x:v>63.83</x:v>
      </x:c>
      <x:c r="E105" s="24" t="n">
        <x:v>62.53</x:v>
      </x:c>
      <x:c r="F105" s="24" t="n">
        <x:v>54.58</x:v>
      </x:c>
      <x:c r="G105" s="24" t="n">
        <x:v>9.6</x:v>
      </x:c>
      <x:c r="H105" s="24" t="n">
        <x:v>41.99</x:v>
      </x:c>
      <x:c r="I105" s="24" t="n">
        <x:v>18.98</x:v>
      </x:c>
      <x:c r="J105" s="24" t="n">
        <x:v>60</x:v>
      </x:c>
      <x:c r="K105" s="24" t="n">
        <x:v>15.9</x:v>
      </x:c>
      <x:c r="L105" s="24" t="n">
        <x:v>-0.35</x:v>
      </x:c>
      <x:c r="M105" s="24" t="n">
        <x:f>0.35*(100-D105)+0.10*(100-E105)+0.20*(100-I105)+0.15*J105+0.10*G105+0.10*K105+L105</x:f>
        <x:v>43.810500000000005</x:v>
      </x:c>
      <x:c r="N105" t="str">
        <x:f>IF(M105&lt;27,"Low",IF(M105&lt;50,"Medium","High"))</x:f>
        <x:v>Medium</x:v>
      </x:c>
    </x:row>
    <x:row r="106">
      <x:c r="A106" t="str">
        <x:v>ML103</x:v>
      </x:c>
      <x:c r="B106" s="26" t="n">
        <x:v>7</x:v>
      </x:c>
      <x:c r="C106" s="26" t="n">
        <x:v>5</x:v>
      </x:c>
      <x:c r="D106" s="24" t="n">
        <x:v>68.75</x:v>
      </x:c>
      <x:c r="E106" s="24" t="n">
        <x:v>70.89</x:v>
      </x:c>
      <x:c r="F106" s="24" t="n">
        <x:v>66.4</x:v>
      </x:c>
      <x:c r="G106" s="24" t="n">
        <x:v>3.92</x:v>
      </x:c>
      <x:c r="H106" s="24" t="n">
        <x:v>77.3</x:v>
      </x:c>
      <x:c r="I106" s="24" t="n">
        <x:v>70.79</x:v>
      </x:c>
      <x:c r="J106" s="24" t="n">
        <x:v>0</x:v>
      </x:c>
      <x:c r="K106" s="24" t="n">
        <x:v>6.51</x:v>
      </x:c>
      <x:c r="L106" s="24" t="n">
        <x:v>5.01</x:v>
      </x:c>
      <x:c r="M106" s="24" t="n">
        <x:f>0.35*(100-D106)+0.10*(100-E106)+0.20*(100-I106)+0.15*J106+0.10*G106+0.10*K106+L106</x:f>
        <x:v>25.743499999999997</x:v>
      </x:c>
      <x:c r="N106" t="str">
        <x:f>IF(M106&lt;27,"Low",IF(M106&lt;50,"Medium","High"))</x:f>
        <x:v>Low</x:v>
      </x:c>
    </x:row>
    <x:row r="107">
      <x:c r="A107" t="str">
        <x:v>ML104</x:v>
      </x:c>
      <x:c r="B107" s="26" t="n">
        <x:v>5</x:v>
      </x:c>
      <x:c r="C107" s="26" t="n">
        <x:v>7</x:v>
      </x:c>
      <x:c r="D107" s="24" t="n">
        <x:v>45.09</x:v>
      </x:c>
      <x:c r="E107" s="24" t="n">
        <x:v>45.54</x:v>
      </x:c>
      <x:c r="F107" s="24" t="n">
        <x:v>34.97</x:v>
      </x:c>
      <x:c r="G107" s="24" t="n">
        <x:v>5.35</x:v>
      </x:c>
      <x:c r="H107" s="24" t="n">
        <x:v>46.28</x:v>
      </x:c>
      <x:c r="I107" s="24" t="n">
        <x:v>18.42</x:v>
      </x:c>
      <x:c r="J107" s="24" t="n">
        <x:v>57.14</x:v>
      </x:c>
      <x:c r="K107" s="24" t="n">
        <x:v>18.33</x:v>
      </x:c>
      <x:c r="L107" s="24" t="n">
        <x:v>-4.25</x:v>
      </x:c>
      <x:c r="M107" s="24" t="n">
        <x:f>0.35*(100-D107)+0.10*(100-E107)+0.20*(100-I107)+0.15*J107+0.10*G107+0.10*K107+L107</x:f>
        <x:v>47.66949999999999</x:v>
      </x:c>
      <x:c r="N107" t="str">
        <x:f>IF(M107&lt;27,"Low",IF(M107&lt;50,"Medium","High"))</x:f>
        <x:v>Medium</x:v>
      </x:c>
    </x:row>
    <x:row r="108">
      <x:c r="A108" t="str">
        <x:v>ML105</x:v>
      </x:c>
      <x:c r="B108" s="26" t="n">
        <x:v>7</x:v>
      </x:c>
      <x:c r="C108" s="26" t="n">
        <x:v>8</x:v>
      </x:c>
      <x:c r="D108" s="24" t="n">
        <x:v>65.79</x:v>
      </x:c>
      <x:c r="E108" s="24" t="n">
        <x:v>65.61</x:v>
      </x:c>
      <x:c r="F108" s="24" t="n">
        <x:v>45.32</x:v>
      </x:c>
      <x:c r="G108" s="24" t="n">
        <x:v>12.14</x:v>
      </x:c>
      <x:c r="H108" s="24" t="n">
        <x:v>54.9</x:v>
      </x:c>
      <x:c r="I108" s="24" t="n">
        <x:v>46.49</x:v>
      </x:c>
      <x:c r="J108" s="24" t="n">
        <x:v>50</x:v>
      </x:c>
      <x:c r="K108" s="24" t="n">
        <x:v>8.14</x:v>
      </x:c>
      <x:c r="L108" s="24" t="n">
        <x:v>-2.54</x:v>
      </x:c>
      <x:c r="M108" s="24" t="n">
        <x:f>0.35*(100-D108)+0.10*(100-E108)+0.20*(100-I108)+0.15*J108+0.10*G108+0.10*K108+L108</x:f>
        <x:v>33.1025</x:v>
      </x:c>
      <x:c r="N108" t="str">
        <x:f>IF(M108&lt;27,"Low",IF(M108&lt;50,"Medium","High"))</x:f>
        <x:v>Medium</x:v>
      </x:c>
    </x:row>
    <x:row r="109">
      <x:c r="A109" t="str">
        <x:v>ML106</x:v>
      </x:c>
      <x:c r="B109" s="26" t="n">
        <x:v>9</x:v>
      </x:c>
      <x:c r="C109" s="26" t="n">
        <x:v>4</x:v>
      </x:c>
      <x:c r="D109" s="24" t="n">
        <x:v>28.68</x:v>
      </x:c>
      <x:c r="E109" s="24" t="n">
        <x:v>28.26</x:v>
      </x:c>
      <x:c r="F109" s="24" t="n">
        <x:v>13.91</x:v>
      </x:c>
      <x:c r="G109" s="24" t="n">
        <x:v>9.26</x:v>
      </x:c>
      <x:c r="H109" s="24" t="n">
        <x:v>16.98</x:v>
      </x:c>
      <x:c r="I109" s="24" t="n">
        <x:v>3.28</x:v>
      </x:c>
      <x:c r="J109" s="24" t="n">
        <x:v>100</x:v>
      </x:c>
      <x:c r="K109" s="24" t="n">
        <x:v>9.22</x:v>
      </x:c>
      <x:c r="L109" s="24" t="n">
        <x:v>1.38</x:v>
      </x:c>
      <x:c r="M109" s="24" t="n">
        <x:f>0.35*(100-D109)+0.10*(100-E109)+0.20*(100-I109)+0.15*J109+0.10*G109+0.10*K109+L109</x:f>
        <x:v>69.70799999999998</x:v>
      </x:c>
      <x:c r="N109" t="str">
        <x:f>IF(M109&lt;27,"Low",IF(M109&lt;50,"Medium","High"))</x:f>
        <x:v>High</x:v>
      </x:c>
    </x:row>
    <x:row r="110">
      <x:c r="A110" t="str">
        <x:v>ML107</x:v>
      </x:c>
      <x:c r="B110" s="26" t="n">
        <x:v>5</x:v>
      </x:c>
      <x:c r="C110" s="26" t="n">
        <x:v>10</x:v>
      </x:c>
      <x:c r="D110" s="24" t="n">
        <x:v>60.77</x:v>
      </x:c>
      <x:c r="E110" s="24" t="n">
        <x:v>57.03</x:v>
      </x:c>
      <x:c r="F110" s="24" t="n">
        <x:v>48.57</x:v>
      </x:c>
      <x:c r="G110" s="24" t="n">
        <x:v>4.65</x:v>
      </x:c>
      <x:c r="H110" s="24" t="n">
        <x:v>48.39</x:v>
      </x:c>
      <x:c r="I110" s="24" t="n">
        <x:v>28.3</x:v>
      </x:c>
      <x:c r="J110" s="24" t="n">
        <x:v>40</x:v>
      </x:c>
      <x:c r="K110" s="24" t="n">
        <x:v>8.42</x:v>
      </x:c>
      <x:c r="L110" s="24" t="n">
        <x:v>-6.9</x:v>
      </x:c>
      <x:c r="M110" s="24" t="n">
        <x:f>0.35*(100-D110)+0.10*(100-E110)+0.20*(100-I110)+0.15*J110+0.10*G110+0.10*K110+L110</x:f>
        <x:v>32.7745</x:v>
      </x:c>
      <x:c r="N110" t="str">
        <x:f>IF(M110&lt;27,"Low",IF(M110&lt;50,"Medium","High"))</x:f>
        <x:v>Medium</x:v>
      </x:c>
    </x:row>
    <x:row r="111">
      <x:c r="A111" t="str">
        <x:v>ML108</x:v>
      </x:c>
      <x:c r="B111" s="26" t="n">
        <x:v>7</x:v>
      </x:c>
      <x:c r="C111" s="26" t="n">
        <x:v>7</x:v>
      </x:c>
      <x:c r="D111" s="24" t="n">
        <x:v>78.38</x:v>
      </x:c>
      <x:c r="E111" s="24" t="n">
        <x:v>80.37</x:v>
      </x:c>
      <x:c r="F111" s="24" t="n">
        <x:v>68.24</x:v>
      </x:c>
      <x:c r="G111" s="24" t="n">
        <x:v>8.39</x:v>
      </x:c>
      <x:c r="H111" s="24" t="n">
        <x:v>84.07</x:v>
      </x:c>
      <x:c r="I111" s="24" t="n">
        <x:v>74.31</x:v>
      </x:c>
      <x:c r="J111" s="24" t="n">
        <x:v>0</x:v>
      </x:c>
      <x:c r="K111" s="24" t="n">
        <x:v>8.93</x:v>
      </x:c>
      <x:c r="L111" s="24" t="n">
        <x:v>1.04</x:v>
      </x:c>
      <x:c r="M111" s="24" t="n">
        <x:f>0.35*(100-D111)+0.10*(100-E111)+0.20*(100-I111)+0.15*J111+0.10*G111+0.10*K111+L111</x:f>
        <x:v>17.44</x:v>
      </x:c>
      <x:c r="N111" t="str">
        <x:f>IF(M111&lt;27,"Low",IF(M111&lt;50,"Medium","High"))</x:f>
        <x:v>Low</x:v>
      </x:c>
    </x:row>
    <x:row r="112">
      <x:c r="A112" t="str">
        <x:v>ML109</x:v>
      </x:c>
      <x:c r="B112" s="26" t="n">
        <x:v>8</x:v>
      </x:c>
      <x:c r="C112" s="26" t="n">
        <x:v>9</x:v>
      </x:c>
      <x:c r="D112" s="24" t="n">
        <x:v>89.44</x:v>
      </x:c>
      <x:c r="E112" s="24" t="n">
        <x:v>90.86</x:v>
      </x:c>
      <x:c r="F112" s="24" t="n">
        <x:v>79.37</x:v>
      </x:c>
      <x:c r="G112" s="24" t="n">
        <x:v>6.91</x:v>
      </x:c>
      <x:c r="H112" s="24" t="n">
        <x:v>87.02</x:v>
      </x:c>
      <x:c r="I112" s="24" t="n">
        <x:v>78.58</x:v>
      </x:c>
      <x:c r="J112" s="24" t="n">
        <x:v>0</x:v>
      </x:c>
      <x:c r="K112" s="24" t="n">
        <x:v>6.94</x:v>
      </x:c>
      <x:c r="L112" s="24" t="n">
        <x:v>1.64</x:v>
      </x:c>
      <x:c r="M112" s="24" t="n">
        <x:f>0.35*(100-D112)+0.10*(100-E112)+0.20*(100-I112)+0.15*J112+0.10*G112+0.10*K112+L112</x:f>
        <x:v>11.919000000000004</x:v>
      </x:c>
      <x:c r="N112" t="str">
        <x:f>IF(M112&lt;27,"Low",IF(M112&lt;50,"Medium","High"))</x:f>
        <x:v>Low</x:v>
      </x:c>
    </x:row>
    <x:row r="113">
      <x:c r="A113" t="str">
        <x:v>ML110</x:v>
      </x:c>
      <x:c r="B113" s="26" t="n">
        <x:v>6</x:v>
      </x:c>
      <x:c r="C113" s="26" t="n">
        <x:v>7</x:v>
      </x:c>
      <x:c r="D113" s="24" t="n">
        <x:v>35.76</x:v>
      </x:c>
      <x:c r="E113" s="24" t="n">
        <x:v>34.81</x:v>
      </x:c>
      <x:c r="F113" s="24" t="n">
        <x:v>29.89</x:v>
      </x:c>
      <x:c r="G113" s="24" t="n">
        <x:v>4.63</x:v>
      </x:c>
      <x:c r="H113" s="24" t="n">
        <x:v>27.24</x:v>
      </x:c>
      <x:c r="I113" s="24" t="n">
        <x:v>14.84</x:v>
      </x:c>
      <x:c r="J113" s="24" t="n">
        <x:v>100</x:v>
      </x:c>
      <x:c r="K113" s="24" t="n">
        <x:v>8.44</x:v>
      </x:c>
      <x:c r="L113" s="24" t="n">
        <x:v>2.08</x:v>
      </x:c>
      <x:c r="M113" s="24" t="n">
        <x:f>0.35*(100-D113)+0.10*(100-E113)+0.20*(100-I113)+0.15*J113+0.10*G113+0.10*K113+L113</x:f>
        <x:v>64.422</x:v>
      </x:c>
      <x:c r="N113" t="str">
        <x:f>IF(M113&lt;27,"Low",IF(M113&lt;50,"Medium","High"))</x:f>
        <x:v>High</x:v>
      </x:c>
    </x:row>
    <x:row r="114">
      <x:c r="A114" t="str">
        <x:v>ML111</x:v>
      </x:c>
      <x:c r="B114" s="26" t="n">
        <x:v>7</x:v>
      </x:c>
      <x:c r="C114" s="26" t="n">
        <x:v>7</x:v>
      </x:c>
      <x:c r="D114" s="24" t="n">
        <x:v>67.23</x:v>
      </x:c>
      <x:c r="E114" s="24" t="n">
        <x:v>67.24</x:v>
      </x:c>
      <x:c r="F114" s="24" t="n">
        <x:v>57.3</x:v>
      </x:c>
      <x:c r="G114" s="24" t="n">
        <x:v>9.84</x:v>
      </x:c>
      <x:c r="H114" s="24" t="n">
        <x:v>54.24</x:v>
      </x:c>
      <x:c r="I114" s="24" t="n">
        <x:v>38.56</x:v>
      </x:c>
      <x:c r="J114" s="24" t="n">
        <x:v>14.29</x:v>
      </x:c>
      <x:c r="K114" s="24" t="n">
        <x:v>6.7</x:v>
      </x:c>
      <x:c r="L114" s="24" t="n">
        <x:v>0.86</x:v>
      </x:c>
      <x:c r="M114" s="24" t="n">
        <x:f>0.35*(100-D114)+0.10*(100-E114)+0.20*(100-I114)+0.15*J114+0.10*G114+0.10*K114+L114</x:f>
        <x:v>31.691000000000003</x:v>
      </x:c>
      <x:c r="N114" t="str">
        <x:f>IF(M114&lt;27,"Low",IF(M114&lt;50,"Medium","High"))</x:f>
        <x:v>Medium</x:v>
      </x:c>
    </x:row>
    <x:row r="115">
      <x:c r="A115" t="str">
        <x:v>ML112</x:v>
      </x:c>
      <x:c r="B115" s="26" t="n">
        <x:v>4</x:v>
      </x:c>
      <x:c r="C115" s="26" t="n">
        <x:v>4</x:v>
      </x:c>
      <x:c r="D115" s="24" t="n">
        <x:v>92.58</x:v>
      </x:c>
      <x:c r="E115" s="24" t="n">
        <x:v>92.71</x:v>
      </x:c>
      <x:c r="F115" s="24" t="n">
        <x:v>87.4</x:v>
      </x:c>
      <x:c r="G115" s="24" t="n">
        <x:v>4.56</x:v>
      </x:c>
      <x:c r="H115" s="24" t="n">
        <x:v>84.89</x:v>
      </x:c>
      <x:c r="I115" s="24" t="n">
        <x:v>68.35</x:v>
      </x:c>
      <x:c r="J115" s="24" t="n">
        <x:v>0</x:v>
      </x:c>
      <x:c r="K115" s="24" t="n">
        <x:v>9.55</x:v>
      </x:c>
      <x:c r="L115" s="24" t="n">
        <x:v>-1.78</x:v>
      </x:c>
      <x:c r="M115" s="24" t="n">
        <x:f>0.35*(100-D115)+0.10*(100-E115)+0.20*(100-I115)+0.15*J115+0.10*G115+0.10*K115+L115</x:f>
        <x:v>9.287000000000003</x:v>
      </x:c>
      <x:c r="N115" t="str">
        <x:f>IF(M115&lt;27,"Low",IF(M115&lt;50,"Medium","High"))</x:f>
        <x:v>Low</x:v>
      </x:c>
    </x:row>
    <x:row r="116">
      <x:c r="A116" t="str">
        <x:v>ML113</x:v>
      </x:c>
      <x:c r="B116" s="26" t="n">
        <x:v>6</x:v>
      </x:c>
      <x:c r="C116" s="26" t="n">
        <x:v>8</x:v>
      </x:c>
      <x:c r="D116" s="24" t="n">
        <x:v>65.6</x:v>
      </x:c>
      <x:c r="E116" s="24" t="n">
        <x:v>63.17</x:v>
      </x:c>
      <x:c r="F116" s="24" t="n">
        <x:v>46.34</x:v>
      </x:c>
      <x:c r="G116" s="24" t="n">
        <x:v>10.04</x:v>
      </x:c>
      <x:c r="H116" s="24" t="n">
        <x:v>59.63</x:v>
      </x:c>
      <x:c r="I116" s="24" t="n">
        <x:v>36.04</x:v>
      </x:c>
      <x:c r="J116" s="24" t="n">
        <x:v>37.5</x:v>
      </x:c>
      <x:c r="K116" s="24" t="n">
        <x:v>16.44</x:v>
      </x:c>
      <x:c r="L116" s="24" t="n">
        <x:v>5.14</x:v>
      </x:c>
      <x:c r="M116" s="24" t="n">
        <x:f>0.35*(100-D116)+0.10*(100-E116)+0.20*(100-I116)+0.15*J116+0.10*G116+0.10*K116+L116</x:f>
        <x:v>41.928</x:v>
      </x:c>
      <x:c r="N116" t="str">
        <x:f>IF(M116&lt;27,"Low",IF(M116&lt;50,"Medium","High"))</x:f>
        <x:v>Medium</x:v>
      </x:c>
    </x:row>
    <x:row r="117">
      <x:c r="A117" t="str">
        <x:v>ML114</x:v>
      </x:c>
      <x:c r="B117" s="26" t="n">
        <x:v>7</x:v>
      </x:c>
      <x:c r="C117" s="26" t="n">
        <x:v>10</x:v>
      </x:c>
      <x:c r="D117" s="24" t="n">
        <x:v>50.72</x:v>
      </x:c>
      <x:c r="E117" s="24" t="n">
        <x:v>52.64</x:v>
      </x:c>
      <x:c r="F117" s="24" t="n">
        <x:v>45.7</x:v>
      </x:c>
      <x:c r="G117" s="24" t="n">
        <x:v>5.45</x:v>
      </x:c>
      <x:c r="H117" s="24" t="n">
        <x:v>47.04</x:v>
      </x:c>
      <x:c r="I117" s="24" t="n">
        <x:v>39.24</x:v>
      </x:c>
      <x:c r="J117" s="24" t="n">
        <x:v>60</x:v>
      </x:c>
      <x:c r="K117" s="24" t="n">
        <x:v>5.59</x:v>
      </x:c>
      <x:c r="L117" s="24" t="n">
        <x:v>1.07</x:v>
      </x:c>
      <x:c r="M117" s="24" t="n">
        <x:f>0.35*(100-D117)+0.10*(100-E117)+0.20*(100-I117)+0.15*J117+0.10*G117+0.10*K117+L117</x:f>
        <x:v>45.309999999999995</x:v>
      </x:c>
      <x:c r="N117" t="str">
        <x:f>IF(M117&lt;27,"Low",IF(M117&lt;50,"Medium","High"))</x:f>
        <x:v>Medium</x:v>
      </x:c>
    </x:row>
    <x:row r="118">
      <x:c r="A118" t="str">
        <x:v>ML115</x:v>
      </x:c>
      <x:c r="B118" s="26" t="n">
        <x:v>8</x:v>
      </x:c>
      <x:c r="C118" s="26" t="n">
        <x:v>7</x:v>
      </x:c>
      <x:c r="D118" s="24" t="n">
        <x:v>78.93</x:v>
      </x:c>
      <x:c r="E118" s="24" t="n">
        <x:v>78.36</x:v>
      </x:c>
      <x:c r="F118" s="24" t="n">
        <x:v>55.98</x:v>
      </x:c>
      <x:c r="G118" s="24" t="n">
        <x:v>12.2</x:v>
      </x:c>
      <x:c r="H118" s="24" t="n">
        <x:v>70.11</x:v>
      </x:c>
      <x:c r="I118" s="24" t="n">
        <x:v>58.04</x:v>
      </x:c>
      <x:c r="J118" s="24" t="n">
        <x:v>0</x:v>
      </x:c>
      <x:c r="K118" s="24" t="n">
        <x:v>7.35</x:v>
      </x:c>
      <x:c r="L118" s="24" t="n">
        <x:v>1.76</x:v>
      </x:c>
      <x:c r="M118" s="24" t="n">
        <x:f>0.35*(100-D118)+0.10*(100-E118)+0.20*(100-I118)+0.15*J118+0.10*G118+0.10*K118+L118</x:f>
        <x:v>21.6455</x:v>
      </x:c>
      <x:c r="N118" t="str">
        <x:f>IF(M118&lt;27,"Low",IF(M118&lt;50,"Medium","High"))</x:f>
        <x:v>Low</x:v>
      </x:c>
    </x:row>
    <x:row r="119">
      <x:c r="A119" t="str">
        <x:v>ML116</x:v>
      </x:c>
      <x:c r="B119" s="26" t="n">
        <x:v>6</x:v>
      </x:c>
      <x:c r="C119" s="26" t="n">
        <x:v>9</x:v>
      </x:c>
      <x:c r="D119" s="24" t="n">
        <x:v>38.07</x:v>
      </x:c>
      <x:c r="E119" s="24" t="n">
        <x:v>35.09</x:v>
      </x:c>
      <x:c r="F119" s="24" t="n">
        <x:v>26.27</x:v>
      </x:c>
      <x:c r="G119" s="24" t="n">
        <x:v>6.01</x:v>
      </x:c>
      <x:c r="H119" s="24" t="n">
        <x:v>31.32</x:v>
      </x:c>
      <x:c r="I119" s="24" t="n">
        <x:v>17.12</x:v>
      </x:c>
      <x:c r="J119" s="24" t="n">
        <x:v>88.89</x:v>
      </x:c>
      <x:c r="K119" s="24" t="n">
        <x:v>9.02</x:v>
      </x:c>
      <x:c r="L119" s="24" t="n">
        <x:v>-5.74</x:v>
      </x:c>
      <x:c r="M119" s="24" t="n">
        <x:f>0.35*(100-D119)+0.10*(100-E119)+0.20*(100-I119)+0.15*J119+0.10*G119+0.10*K119+L119</x:f>
        <x:v>53.839</x:v>
      </x:c>
      <x:c r="N119" t="str">
        <x:f>IF(M119&lt;27,"Low",IF(M119&lt;50,"Medium","High"))</x:f>
        <x:v>High</x:v>
      </x:c>
    </x:row>
    <x:row r="120">
      <x:c r="A120" t="str">
        <x:v>ML117</x:v>
      </x:c>
      <x:c r="B120" s="26" t="n">
        <x:v>5</x:v>
      </x:c>
      <x:c r="C120" s="26" t="n">
        <x:v>8</x:v>
      </x:c>
      <x:c r="D120" s="24" t="n">
        <x:v>53.12</x:v>
      </x:c>
      <x:c r="E120" s="24" t="n">
        <x:v>53.43</x:v>
      </x:c>
      <x:c r="F120" s="24" t="n">
        <x:v>32.83</x:v>
      </x:c>
      <x:c r="G120" s="24" t="n">
        <x:v>13.65</x:v>
      </x:c>
      <x:c r="H120" s="24" t="n">
        <x:v>50.59</x:v>
      </x:c>
      <x:c r="I120" s="24" t="n">
        <x:v>45.69</x:v>
      </x:c>
      <x:c r="J120" s="24" t="n">
        <x:v>50</x:v>
      </x:c>
      <x:c r="K120" s="24" t="n">
        <x:v>3.81</x:v>
      </x:c>
      <x:c r="L120" s="24" t="n">
        <x:v>11.45</x:v>
      </x:c>
      <x:c r="M120" s="24" t="n">
        <x:f>0.35*(100-D120)+0.10*(100-E120)+0.20*(100-I120)+0.15*J120+0.10*G120+0.10*K120+L120</x:f>
        <x:v>52.623000000000005</x:v>
      </x:c>
      <x:c r="N120" t="str">
        <x:f>IF(M120&lt;27,"Low",IF(M120&lt;50,"Medium","High"))</x:f>
        <x:v>High</x:v>
      </x:c>
    </x:row>
    <x:row r="121">
      <x:c r="A121" t="str">
        <x:v>ML118</x:v>
      </x:c>
      <x:c r="B121" s="26" t="n">
        <x:v>8</x:v>
      </x:c>
      <x:c r="C121" s="26" t="n">
        <x:v>4</x:v>
      </x:c>
      <x:c r="D121" s="24" t="n">
        <x:v>49.76</x:v>
      </x:c>
      <x:c r="E121" s="24" t="n">
        <x:v>48.94</x:v>
      </x:c>
      <x:c r="F121" s="24" t="n">
        <x:v>38.49</x:v>
      </x:c>
      <x:c r="G121" s="24" t="n">
        <x:v>6.38</x:v>
      </x:c>
      <x:c r="H121" s="24" t="n">
        <x:v>50.5</x:v>
      </x:c>
      <x:c r="I121" s="24" t="n">
        <x:v>46.69</x:v>
      </x:c>
      <x:c r="J121" s="24" t="n">
        <x:v>25</x:v>
      </x:c>
      <x:c r="K121" s="24" t="n">
        <x:v>2.9</x:v>
      </x:c>
      <x:c r="L121" s="24" t="n">
        <x:v>1.75</x:v>
      </x:c>
      <x:c r="M121" s="24" t="n">
        <x:f>0.35*(100-D121)+0.10*(100-E121)+0.20*(100-I121)+0.15*J121+0.10*G121+0.10*K121+L121</x:f>
        <x:v>39.78</x:v>
      </x:c>
      <x:c r="N121" t="str">
        <x:f>IF(M121&lt;27,"Low",IF(M121&lt;50,"Medium","High"))</x:f>
        <x:v>Medium</x:v>
      </x:c>
    </x:row>
    <x:row r="122">
      <x:c r="A122" t="str">
        <x:v>ML119</x:v>
      </x:c>
      <x:c r="B122" s="26" t="n">
        <x:v>7</x:v>
      </x:c>
      <x:c r="C122" s="26" t="n">
        <x:v>5</x:v>
      </x:c>
      <x:c r="D122" s="24" t="n">
        <x:v>43.93</x:v>
      </x:c>
      <x:c r="E122" s="24" t="n">
        <x:v>43.73</x:v>
      </x:c>
      <x:c r="F122" s="24" t="n">
        <x:v>35.25</x:v>
      </x:c>
      <x:c r="G122" s="24" t="n">
        <x:v>6.23</x:v>
      </x:c>
      <x:c r="H122" s="24" t="n">
        <x:v>50.82</x:v>
      </x:c>
      <x:c r="I122" s="24" t="n">
        <x:v>44.43</x:v>
      </x:c>
      <x:c r="J122" s="24" t="n">
        <x:v>40</x:v>
      </x:c>
      <x:c r="K122" s="24" t="n">
        <x:v>5.39</x:v>
      </x:c>
      <x:c r="L122" s="24" t="n">
        <x:v>6.45</x:v>
      </x:c>
      <x:c r="M122" s="24" t="n">
        <x:f>0.35*(100-D122)+0.10*(100-E122)+0.20*(100-I122)+0.15*J122+0.10*G122+0.10*K122+L122</x:f>
        <x:v>49.9775</x:v>
      </x:c>
      <x:c r="N122" t="str">
        <x:f>IF(M122&lt;27,"Low",IF(M122&lt;50,"Medium","High"))</x:f>
        <x:v>Medium</x:v>
      </x:c>
    </x:row>
    <x:row r="123">
      <x:c r="A123" t="str">
        <x:v>ML120</x:v>
      </x:c>
      <x:c r="B123" s="26" t="n">
        <x:v>8</x:v>
      </x:c>
      <x:c r="C123" s="26" t="n">
        <x:v>5</x:v>
      </x:c>
      <x:c r="D123" s="24" t="n">
        <x:v>66.11</x:v>
      </x:c>
      <x:c r="E123" s="24" t="n">
        <x:v>65.35</x:v>
      </x:c>
      <x:c r="F123" s="24" t="n">
        <x:v>38.75</x:v>
      </x:c>
      <x:c r="G123" s="24" t="n">
        <x:v>13.14</x:v>
      </x:c>
      <x:c r="H123" s="24" t="n">
        <x:v>58.1</x:v>
      </x:c>
      <x:c r="I123" s="24" t="n">
        <x:v>48.98</x:v>
      </x:c>
      <x:c r="J123" s="24" t="n">
        <x:v>20</x:v>
      </x:c>
      <x:c r="K123" s="24" t="n">
        <x:v>6.49</x:v>
      </x:c>
      <x:c r="L123" s="24" t="n">
        <x:v>-2.08</x:v>
      </x:c>
      <x:c r="M123" s="24" t="n">
        <x:f>0.35*(100-D123)+0.10*(100-E123)+0.20*(100-I123)+0.15*J123+0.10*G123+0.10*K123+L123</x:f>
        <x:v>28.4135</x:v>
      </x:c>
      <x:c r="N123" t="str">
        <x:f>IF(M123&lt;27,"Low",IF(M123&lt;50,"Medium","High"))</x:f>
        <x:v>Medium</x:v>
      </x:c>
    </x:row>
    <x:row r="124">
      <x:c r="A124" t="str">
        <x:v>ML121</x:v>
      </x:c>
      <x:c r="B124" s="26" t="n">
        <x:v>6</x:v>
      </x:c>
      <x:c r="C124" s="26" t="n">
        <x:v>7</x:v>
      </x:c>
      <x:c r="D124" s="24" t="n">
        <x:v>55.17</x:v>
      </x:c>
      <x:c r="E124" s="24" t="n">
        <x:v>59.07</x:v>
      </x:c>
      <x:c r="F124" s="24" t="n">
        <x:v>31.05</x:v>
      </x:c>
      <x:c r="G124" s="24" t="n">
        <x:v>14.7</x:v>
      </x:c>
      <x:c r="H124" s="24" t="n">
        <x:v>54.66</x:v>
      </x:c>
      <x:c r="I124" s="24" t="n">
        <x:v>41.79</x:v>
      </x:c>
      <x:c r="J124" s="24" t="n">
        <x:v>28.57</x:v>
      </x:c>
      <x:c r="K124" s="24" t="n">
        <x:v>10.23</x:v>
      </x:c>
      <x:c r="L124" s="24" t="n">
        <x:v>6.43</x:v>
      </x:c>
      <x:c r="M124" s="24" t="n">
        <x:f>0.35*(100-D124)+0.10*(100-E124)+0.20*(100-I124)+0.15*J124+0.10*G124+0.10*K124+L124</x:f>
        <x:v>44.634</x:v>
      </x:c>
      <x:c r="N124" t="str">
        <x:f>IF(M124&lt;27,"Low",IF(M124&lt;50,"Medium","High"))</x:f>
        <x:v>Medium</x:v>
      </x:c>
    </x:row>
    <x:row r="125">
      <x:c r="A125" t="str">
        <x:v>ML122</x:v>
      </x:c>
      <x:c r="B125" s="26" t="n">
        <x:v>4</x:v>
      </x:c>
      <x:c r="C125" s="26" t="n">
        <x:v>7</x:v>
      </x:c>
      <x:c r="D125" s="24" t="n">
        <x:v>75.31</x:v>
      </x:c>
      <x:c r="E125" s="24" t="n">
        <x:v>76.93</x:v>
      </x:c>
      <x:c r="F125" s="24" t="n">
        <x:v>65.09</x:v>
      </x:c>
      <x:c r="G125" s="24" t="n">
        <x:v>7.62</x:v>
      </x:c>
      <x:c r="H125" s="24" t="n">
        <x:v>67.67</x:v>
      </x:c>
      <x:c r="I125" s="24" t="n">
        <x:v>46.05</x:v>
      </x:c>
      <x:c r="J125" s="24" t="n">
        <x:v>14.29</x:v>
      </x:c>
      <x:c r="K125" s="24" t="n">
        <x:v>11</x:v>
      </x:c>
      <x:c r="L125" s="24" t="n">
        <x:v>0.31</x:v>
      </x:c>
      <x:c r="M125" s="24" t="n">
        <x:f>0.35*(100-D125)+0.10*(100-E125)+0.20*(100-I125)+0.15*J125+0.10*G125+0.10*K125+L125</x:f>
        <x:v>26.054000000000002</x:v>
      </x:c>
      <x:c r="N125" t="str">
        <x:f>IF(M125&lt;27,"Low",IF(M125&lt;50,"Medium","High"))</x:f>
        <x:v>Low</x:v>
      </x:c>
    </x:row>
    <x:row r="126">
      <x:c r="A126" t="str">
        <x:v>ML123</x:v>
      </x:c>
      <x:c r="B126" s="26" t="n">
        <x:v>8</x:v>
      </x:c>
      <x:c r="C126" s="26" t="n">
        <x:v>8</x:v>
      </x:c>
      <x:c r="D126" s="24" t="n">
        <x:v>78.56</x:v>
      </x:c>
      <x:c r="E126" s="24" t="n">
        <x:v>76.2</x:v>
      </x:c>
      <x:c r="F126" s="24" t="n">
        <x:v>70.27</x:v>
      </x:c>
      <x:c r="G126" s="24" t="n">
        <x:v>5.2</x:v>
      </x:c>
      <x:c r="H126" s="24" t="n">
        <x:v>66.65</x:v>
      </x:c>
      <x:c r="I126" s="24" t="n">
        <x:v>33.44</x:v>
      </x:c>
      <x:c r="J126" s="24" t="n">
        <x:v>12.5</x:v>
      </x:c>
      <x:c r="K126" s="24" t="n">
        <x:v>15.11</x:v>
      </x:c>
      <x:c r="L126" s="24" t="n">
        <x:v>-1.33</x:v>
      </x:c>
      <x:c r="M126" s="24" t="n">
        <x:f>0.35*(100-D126)+0.10*(100-E126)+0.20*(100-I126)+0.15*J126+0.10*G126+0.10*K126+L126</x:f>
        <x:v>25.772</x:v>
      </x:c>
      <x:c r="N126" t="str">
        <x:f>IF(M126&lt;27,"Low",IF(M126&lt;50,"Medium","High"))</x:f>
        <x:v>Low</x:v>
      </x:c>
    </x:row>
    <x:row r="127">
      <x:c r="A127" t="str">
        <x:v>ML124</x:v>
      </x:c>
      <x:c r="B127" s="26" t="n">
        <x:v>8</x:v>
      </x:c>
      <x:c r="C127" s="26" t="n">
        <x:v>10</x:v>
      </x:c>
      <x:c r="D127" s="24" t="n">
        <x:v>55.26</x:v>
      </x:c>
      <x:c r="E127" s="24" t="n">
        <x:v>55.22</x:v>
      </x:c>
      <x:c r="F127" s="24" t="n">
        <x:v>39.18</x:v>
      </x:c>
      <x:c r="G127" s="24" t="n">
        <x:v>12.43</x:v>
      </x:c>
      <x:c r="H127" s="24" t="n">
        <x:v>54.46</x:v>
      </x:c>
      <x:c r="I127" s="24" t="n">
        <x:v>43.14</x:v>
      </x:c>
      <x:c r="J127" s="24" t="n">
        <x:v>30</x:v>
      </x:c>
      <x:c r="K127" s="24" t="n">
        <x:v>8.47</x:v>
      </x:c>
      <x:c r="L127" s="24" t="n">
        <x:v>1.28</x:v>
      </x:c>
      <x:c r="M127" s="24" t="n">
        <x:f>0.35*(100-D127)+0.10*(100-E127)+0.20*(100-I127)+0.15*J127+0.10*G127+0.10*K127+L127</x:f>
        <x:v>39.379000000000005</x:v>
      </x:c>
      <x:c r="N127" t="str">
        <x:f>IF(M127&lt;27,"Low",IF(M127&lt;50,"Medium","High"))</x:f>
        <x:v>Medium</x:v>
      </x:c>
    </x:row>
    <x:row r="128">
      <x:c r="A128" t="str">
        <x:v>ML125</x:v>
      </x:c>
      <x:c r="B128" s="26" t="n">
        <x:v>7</x:v>
      </x:c>
      <x:c r="C128" s="26" t="n">
        <x:v>10</x:v>
      </x:c>
      <x:c r="D128" s="24" t="n">
        <x:v>79.17</x:v>
      </x:c>
      <x:c r="E128" s="24" t="n">
        <x:v>80.1</x:v>
      </x:c>
      <x:c r="F128" s="24" t="n">
        <x:v>69.54</x:v>
      </x:c>
      <x:c r="G128" s="24" t="n">
        <x:v>9.16</x:v>
      </x:c>
      <x:c r="H128" s="24" t="n">
        <x:v>79.66</x:v>
      </x:c>
      <x:c r="I128" s="24" t="n">
        <x:v>47.65</x:v>
      </x:c>
      <x:c r="J128" s="24" t="n">
        <x:v>10</x:v>
      </x:c>
      <x:c r="K128" s="24" t="n">
        <x:v>14.16</x:v>
      </x:c>
      <x:c r="L128" s="24" t="n">
        <x:v>-2.69</x:v>
      </x:c>
      <x:c r="M128" s="24" t="n">
        <x:f>0.35*(100-D128)+0.10*(100-E128)+0.20*(100-I128)+0.15*J128+0.10*G128+0.10*K128+L128</x:f>
        <x:v>20.892500000000002</x:v>
      </x:c>
      <x:c r="N128" t="str">
        <x:f>IF(M128&lt;27,"Low",IF(M128&lt;50,"Medium","High"))</x:f>
        <x:v>Low</x:v>
      </x:c>
    </x:row>
    <x:row r="129">
      <x:c r="A129" t="str">
        <x:v>ML126</x:v>
      </x:c>
      <x:c r="B129" s="26" t="n">
        <x:v>9</x:v>
      </x:c>
      <x:c r="C129" s="26" t="n">
        <x:v>9</x:v>
      </x:c>
      <x:c r="D129" s="24" t="n">
        <x:v>72.97</x:v>
      </x:c>
      <x:c r="E129" s="24" t="n">
        <x:v>72.79</x:v>
      </x:c>
      <x:c r="F129" s="24" t="n">
        <x:v>63.43</x:v>
      </x:c>
      <x:c r="G129" s="24" t="n">
        <x:v>9.04</x:v>
      </x:c>
      <x:c r="H129" s="24" t="n">
        <x:v>75.87</x:v>
      </x:c>
      <x:c r="I129" s="24" t="n">
        <x:v>62.69</x:v>
      </x:c>
      <x:c r="J129" s="24" t="n">
        <x:v>0</x:v>
      </x:c>
      <x:c r="K129" s="24" t="n">
        <x:v>10.8</x:v>
      </x:c>
      <x:c r="L129" s="24" t="n">
        <x:v>0.21</x:v>
      </x:c>
      <x:c r="M129" s="24" t="n">
        <x:f>0.35*(100-D129)+0.10*(100-E129)+0.20*(100-I129)+0.15*J129+0.10*G129+0.10*K129+L129</x:f>
        <x:v>21.8375</x:v>
      </x:c>
      <x:c r="N129" t="str">
        <x:f>IF(M129&lt;27,"Low",IF(M129&lt;50,"Medium","High"))</x:f>
        <x:v>Low</x:v>
      </x:c>
    </x:row>
    <x:row r="130">
      <x:c r="A130" t="str">
        <x:v>ML127</x:v>
      </x:c>
      <x:c r="B130" s="26" t="n">
        <x:v>9</x:v>
      </x:c>
      <x:c r="C130" s="26" t="n">
        <x:v>5</x:v>
      </x:c>
      <x:c r="D130" s="24" t="n">
        <x:v>82.8</x:v>
      </x:c>
      <x:c r="E130" s="24" t="n">
        <x:v>80.75</x:v>
      </x:c>
      <x:c r="F130" s="24" t="n">
        <x:v>71.25</x:v>
      </x:c>
      <x:c r="G130" s="24" t="n">
        <x:v>8.4</x:v>
      </x:c>
      <x:c r="H130" s="24" t="n">
        <x:v>67.35</x:v>
      </x:c>
      <x:c r="I130" s="24" t="n">
        <x:v>44.69</x:v>
      </x:c>
      <x:c r="J130" s="24" t="n">
        <x:v>20</x:v>
      </x:c>
      <x:c r="K130" s="24" t="n">
        <x:v>16.32</x:v>
      </x:c>
      <x:c r="L130" s="24" t="n">
        <x:v>2.83</x:v>
      </x:c>
      <x:c r="M130" s="24" t="n">
        <x:f>0.35*(100-D130)+0.10*(100-E130)+0.20*(100-I130)+0.15*J130+0.10*G130+0.10*K130+L130</x:f>
        <x:v>27.309000000000005</x:v>
      </x:c>
      <x:c r="N130" t="str">
        <x:f>IF(M130&lt;27,"Low",IF(M130&lt;50,"Medium","High"))</x:f>
        <x:v>Medium</x:v>
      </x:c>
    </x:row>
    <x:row r="131">
      <x:c r="A131" t="str">
        <x:v>ML128</x:v>
      </x:c>
      <x:c r="B131" s="26" t="n">
        <x:v>9</x:v>
      </x:c>
      <x:c r="C131" s="26" t="n">
        <x:v>9</x:v>
      </x:c>
      <x:c r="D131" s="24" t="n">
        <x:v>64.45</x:v>
      </x:c>
      <x:c r="E131" s="24" t="n">
        <x:v>63.05</x:v>
      </x:c>
      <x:c r="F131" s="24" t="n">
        <x:v>46.7</x:v>
      </x:c>
      <x:c r="G131" s="24" t="n">
        <x:v>9.32</x:v>
      </x:c>
      <x:c r="H131" s="24" t="n">
        <x:v>62.54</x:v>
      </x:c>
      <x:c r="I131" s="24" t="n">
        <x:v>48.85</x:v>
      </x:c>
      <x:c r="J131" s="24" t="n">
        <x:v>11.11</x:v>
      </x:c>
      <x:c r="K131" s="24" t="n">
        <x:v>8.87</x:v>
      </x:c>
      <x:c r="L131" s="24" t="n">
        <x:v>-2.87</x:v>
      </x:c>
      <x:c r="M131" s="24" t="n">
        <x:f>0.35*(100-D131)+0.10*(100-E131)+0.20*(100-I131)+0.15*J131+0.10*G131+0.10*K131+L131</x:f>
        <x:v>26.982999999999997</x:v>
      </x:c>
      <x:c r="N131" t="str">
        <x:f>IF(M131&lt;27,"Low",IF(M131&lt;50,"Medium","High"))</x:f>
        <x:v>Low</x:v>
      </x:c>
    </x:row>
    <x:row r="132">
      <x:c r="A132" t="str">
        <x:v>ML129</x:v>
      </x:c>
      <x:c r="B132" s="26" t="n">
        <x:v>7</x:v>
      </x:c>
      <x:c r="C132" s="26" t="n">
        <x:v>10</x:v>
      </x:c>
      <x:c r="D132" s="24" t="n">
        <x:v>89.72</x:v>
      </x:c>
      <x:c r="E132" s="24" t="n">
        <x:v>88.95</x:v>
      </x:c>
      <x:c r="F132" s="24" t="n">
        <x:v>79.53</x:v>
      </x:c>
      <x:c r="G132" s="24" t="n">
        <x:v>5.4</x:v>
      </x:c>
      <x:c r="H132" s="24" t="n">
        <x:v>76.16</x:v>
      </x:c>
      <x:c r="I132" s="24" t="n">
        <x:v>40.89</x:v>
      </x:c>
      <x:c r="J132" s="24" t="n">
        <x:v>10</x:v>
      </x:c>
      <x:c r="K132" s="24" t="n">
        <x:v>12.83</x:v>
      </x:c>
      <x:c r="L132" s="24" t="n">
        <x:v>3.66</x:v>
      </x:c>
      <x:c r="M132" s="24" t="n">
        <x:f>0.35*(100-D132)+0.10*(100-E132)+0.20*(100-I132)+0.15*J132+0.10*G132+0.10*K132+L132</x:f>
        <x:v>23.508000000000003</x:v>
      </x:c>
      <x:c r="N132" t="str">
        <x:f>IF(M132&lt;27,"Low",IF(M132&lt;50,"Medium","High"))</x:f>
        <x:v>Low</x:v>
      </x:c>
    </x:row>
    <x:row r="133">
      <x:c r="A133" t="str">
        <x:v>ML130</x:v>
      </x:c>
      <x:c r="B133" s="26" t="n">
        <x:v>7</x:v>
      </x:c>
      <x:c r="C133" s="26" t="n">
        <x:v>9</x:v>
      </x:c>
      <x:c r="D133" s="24" t="n">
        <x:v>51.97</x:v>
      </x:c>
      <x:c r="E133" s="24" t="n">
        <x:v>53.35</x:v>
      </x:c>
      <x:c r="F133" s="24" t="n">
        <x:v>32.16</x:v>
      </x:c>
      <x:c r="G133" s="24" t="n">
        <x:v>10.12</x:v>
      </x:c>
      <x:c r="H133" s="24" t="n">
        <x:v>54.61</x:v>
      </x:c>
      <x:c r="I133" s="24" t="n">
        <x:v>30.92</x:v>
      </x:c>
      <x:c r="J133" s="24" t="n">
        <x:v>33.33</x:v>
      </x:c>
      <x:c r="K133" s="24" t="n">
        <x:v>11.33</x:v>
      </x:c>
      <x:c r="L133" s="24" t="n">
        <x:v>-0.4</x:v>
      </x:c>
      <x:c r="M133" s="24" t="n">
        <x:f>0.35*(100-D133)+0.10*(100-E133)+0.20*(100-I133)+0.15*J133+0.10*G133+0.10*K133+L133</x:f>
        <x:v>42.036</x:v>
      </x:c>
      <x:c r="N133" t="str">
        <x:f>IF(M133&lt;27,"Low",IF(M133&lt;50,"Medium","High"))</x:f>
        <x:v>Medium</x:v>
      </x:c>
    </x:row>
    <x:row r="134">
      <x:c r="A134" t="str">
        <x:v>ML131</x:v>
      </x:c>
      <x:c r="B134" s="26" t="n">
        <x:v>8</x:v>
      </x:c>
      <x:c r="C134" s="26" t="n">
        <x:v>9</x:v>
      </x:c>
      <x:c r="D134" s="24" t="n">
        <x:v>73.85</x:v>
      </x:c>
      <x:c r="E134" s="24" t="n">
        <x:v>81.95</x:v>
      </x:c>
      <x:c r="F134" s="24" t="n">
        <x:v>70.85</x:v>
      </x:c>
      <x:c r="G134" s="24" t="n">
        <x:v>9.44</x:v>
      </x:c>
      <x:c r="H134" s="24" t="n">
        <x:v>85.74</x:v>
      </x:c>
      <x:c r="I134" s="24" t="n">
        <x:v>69.62</x:v>
      </x:c>
      <x:c r="J134" s="24" t="n">
        <x:v>0</x:v>
      </x:c>
      <x:c r="K134" s="24" t="n">
        <x:v>10.02</x:v>
      </x:c>
      <x:c r="L134" s="24" t="n">
        <x:v>-3.65</x:v>
      </x:c>
      <x:c r="M134" s="24" t="n">
        <x:f>0.35*(100-D134)+0.10*(100-E134)+0.20*(100-I134)+0.15*J134+0.10*G134+0.10*K134+L134</x:f>
        <x:v>15.329499999999998</x:v>
      </x:c>
      <x:c r="N134" t="str">
        <x:f>IF(M134&lt;27,"Low",IF(M134&lt;50,"Medium","High"))</x:f>
        <x:v>Low</x:v>
      </x:c>
    </x:row>
    <x:row r="135">
      <x:c r="A135" t="str">
        <x:v>ML132</x:v>
      </x:c>
      <x:c r="B135" s="26" t="n">
        <x:v>5</x:v>
      </x:c>
      <x:c r="C135" s="26" t="n">
        <x:v>7</x:v>
      </x:c>
      <x:c r="D135" s="24" t="n">
        <x:v>32.93</x:v>
      </x:c>
      <x:c r="E135" s="24" t="n">
        <x:v>31.69</x:v>
      </x:c>
      <x:c r="F135" s="24" t="n">
        <x:v>23.55</x:v>
      </x:c>
      <x:c r="G135" s="24" t="n">
        <x:v>6.43</x:v>
      </x:c>
      <x:c r="H135" s="24" t="n">
        <x:v>18.78</x:v>
      </x:c>
      <x:c r="I135" s="24" t="n">
        <x:v>3.96</x:v>
      </x:c>
      <x:c r="J135" s="24" t="n">
        <x:v>100</x:v>
      </x:c>
      <x:c r="K135" s="24" t="n">
        <x:v>7.54</x:v>
      </x:c>
      <x:c r="L135" s="24" t="n">
        <x:v>-2.43</x:v>
      </x:c>
      <x:c r="M135" s="24" t="n">
        <x:f>0.35*(100-D135)+0.10*(100-E135)+0.20*(100-I135)+0.15*J135+0.10*G135+0.10*K135+L135</x:f>
        <x:v>63.4805</x:v>
      </x:c>
      <x:c r="N135" t="str">
        <x:f>IF(M135&lt;27,"Low",IF(M135&lt;50,"Medium","High"))</x:f>
        <x:v>High</x:v>
      </x:c>
    </x:row>
    <x:row r="136">
      <x:c r="A136" t="str">
        <x:v>ML133</x:v>
      </x:c>
      <x:c r="B136" s="26" t="n">
        <x:v>4</x:v>
      </x:c>
      <x:c r="C136" s="26" t="n">
        <x:v>8</x:v>
      </x:c>
      <x:c r="D136" s="24" t="n">
        <x:v>76.93</x:v>
      </x:c>
      <x:c r="E136" s="24" t="n">
        <x:v>76.12</x:v>
      </x:c>
      <x:c r="F136" s="24" t="n">
        <x:v>57.97</x:v>
      </x:c>
      <x:c r="G136" s="24" t="n">
        <x:v>11.33</x:v>
      </x:c>
      <x:c r="H136" s="24" t="n">
        <x:v>59.35</x:v>
      </x:c>
      <x:c r="I136" s="24" t="n">
        <x:v>45.17</x:v>
      </x:c>
      <x:c r="J136" s="24" t="n">
        <x:v>25</x:v>
      </x:c>
      <x:c r="K136" s="24" t="n">
        <x:v>8.57</x:v>
      </x:c>
      <x:c r="L136" s="24" t="n">
        <x:v>-4.49</x:v>
      </x:c>
      <x:c r="M136" s="24" t="n">
        <x:f>0.35*(100-D136)+0.10*(100-E136)+0.20*(100-I136)+0.15*J136+0.10*G136+0.10*K136+L136</x:f>
        <x:v>22.6785</x:v>
      </x:c>
      <x:c r="N136" t="str">
        <x:f>IF(M136&lt;27,"Low",IF(M136&lt;50,"Medium","High"))</x:f>
        <x:v>Low</x:v>
      </x:c>
    </x:row>
    <x:row r="137">
      <x:c r="A137" t="str">
        <x:v>ML134</x:v>
      </x:c>
      <x:c r="B137" s="26" t="n">
        <x:v>9</x:v>
      </x:c>
      <x:c r="C137" s="26" t="n">
        <x:v>10</x:v>
      </x:c>
      <x:c r="D137" s="24" t="n">
        <x:v>50.87</x:v>
      </x:c>
      <x:c r="E137" s="24" t="n">
        <x:v>56.86</x:v>
      </x:c>
      <x:c r="F137" s="24" t="n">
        <x:v>49.46</x:v>
      </x:c>
      <x:c r="G137" s="24" t="n">
        <x:v>4.71</x:v>
      </x:c>
      <x:c r="H137" s="24" t="n">
        <x:v>56.86</x:v>
      </x:c>
      <x:c r="I137" s="24" t="n">
        <x:v>38.85</x:v>
      </x:c>
      <x:c r="J137" s="24" t="n">
        <x:v>20</x:v>
      </x:c>
      <x:c r="K137" s="24" t="n">
        <x:v>7.96</x:v>
      </x:c>
      <x:c r="L137" s="24" t="n">
        <x:v>-3.17</x:v>
      </x:c>
      <x:c r="M137" s="24" t="n">
        <x:f>0.35*(100-D137)+0.10*(100-E137)+0.20*(100-I137)+0.15*J137+0.10*G137+0.10*K137+L137</x:f>
        <x:v>34.836499999999994</x:v>
      </x:c>
      <x:c r="N137" t="str">
        <x:f>IF(M137&lt;27,"Low",IF(M137&lt;50,"Medium","High"))</x:f>
        <x:v>Medium</x:v>
      </x:c>
    </x:row>
    <x:row r="138">
      <x:c r="A138" t="str">
        <x:v>ML135</x:v>
      </x:c>
      <x:c r="B138" s="26" t="n">
        <x:v>8</x:v>
      </x:c>
      <x:c r="C138" s="26" t="n">
        <x:v>4</x:v>
      </x:c>
      <x:c r="D138" s="24" t="n">
        <x:v>48.09</x:v>
      </x:c>
      <x:c r="E138" s="24" t="n">
        <x:v>50.97</x:v>
      </x:c>
      <x:c r="F138" s="24" t="n">
        <x:v>42.41</x:v>
      </x:c>
      <x:c r="G138" s="24" t="n">
        <x:v>5.11</x:v>
      </x:c>
      <x:c r="H138" s="24" t="n">
        <x:v>55.4</x:v>
      </x:c>
      <x:c r="I138" s="24" t="n">
        <x:v>47.29</x:v>
      </x:c>
      <x:c r="J138" s="24" t="n">
        <x:v>25</x:v>
      </x:c>
      <x:c r="K138" s="24" t="n">
        <x:v>7.09</x:v>
      </x:c>
      <x:c r="L138" s="24" t="n">
        <x:v>-3.68</x:v>
      </x:c>
      <x:c r="M138" s="24" t="n">
        <x:f>0.35*(100-D138)+0.10*(100-E138)+0.20*(100-I138)+0.15*J138+0.10*G138+0.10*K138+L138</x:f>
        <x:v>34.90350000000001</x:v>
      </x:c>
      <x:c r="N138" t="str">
        <x:f>IF(M138&lt;27,"Low",IF(M138&lt;50,"Medium","High"))</x:f>
        <x:v>Medium</x:v>
      </x:c>
    </x:row>
    <x:row r="139">
      <x:c r="A139" t="str">
        <x:v>ML136</x:v>
      </x:c>
      <x:c r="B139" s="26" t="n">
        <x:v>9</x:v>
      </x:c>
      <x:c r="C139" s="26" t="n">
        <x:v>6</x:v>
      </x:c>
      <x:c r="D139" s="24" t="n">
        <x:v>86.15</x:v>
      </x:c>
      <x:c r="E139" s="24" t="n">
        <x:v>85.57</x:v>
      </x:c>
      <x:c r="F139" s="24" t="n">
        <x:v>73.34</x:v>
      </x:c>
      <x:c r="G139" s="24" t="n">
        <x:v>7.89</x:v>
      </x:c>
      <x:c r="H139" s="24" t="n">
        <x:v>83.37</x:v>
      </x:c>
      <x:c r="I139" s="24" t="n">
        <x:v>61.13</x:v>
      </x:c>
      <x:c r="J139" s="24" t="n">
        <x:v>0</x:v>
      </x:c>
      <x:c r="K139" s="24" t="n">
        <x:v>11.89</x:v>
      </x:c>
      <x:c r="L139" s="24" t="n">
        <x:v>0.11</x:v>
      </x:c>
      <x:c r="M139" s="24" t="n">
        <x:f>0.35*(100-D139)+0.10*(100-E139)+0.20*(100-I139)+0.15*J139+0.10*G139+0.10*K139+L139</x:f>
        <x:v>16.152499999999996</x:v>
      </x:c>
      <x:c r="N139" t="str">
        <x:f>IF(M139&lt;27,"Low",IF(M139&lt;50,"Medium","High"))</x:f>
        <x:v>Low</x:v>
      </x:c>
    </x:row>
    <x:row r="140">
      <x:c r="A140" t="str">
        <x:v>ML137</x:v>
      </x:c>
      <x:c r="B140" s="26" t="n">
        <x:v>8</x:v>
      </x:c>
      <x:c r="C140" s="26" t="n">
        <x:v>9</x:v>
      </x:c>
      <x:c r="D140" s="24" t="n">
        <x:v>45.08</x:v>
      </x:c>
      <x:c r="E140" s="24" t="n">
        <x:v>44.55</x:v>
      </x:c>
      <x:c r="F140" s="24" t="n">
        <x:v>31.42</x:v>
      </x:c>
      <x:c r="G140" s="24" t="n">
        <x:v>9.63</x:v>
      </x:c>
      <x:c r="H140" s="24" t="n">
        <x:v>36.59</x:v>
      </x:c>
      <x:c r="I140" s="24" t="n">
        <x:v>20.27</x:v>
      </x:c>
      <x:c r="J140" s="24" t="n">
        <x:v>100</x:v>
      </x:c>
      <x:c r="K140" s="24" t="n">
        <x:v>7.34</x:v>
      </x:c>
      <x:c r="L140" s="24" t="n">
        <x:v>-0.14</x:v>
      </x:c>
      <x:c r="M140" s="24" t="n">
        <x:f>0.35*(100-D140)+0.10*(100-E140)+0.20*(100-I140)+0.15*J140+0.10*G140+0.10*K140+L140</x:f>
        <x:v>57.27</x:v>
      </x:c>
      <x:c r="N140" t="str">
        <x:f>IF(M140&lt;27,"Low",IF(M140&lt;50,"Medium","High"))</x:f>
        <x:v>High</x:v>
      </x:c>
    </x:row>
    <x:row r="141">
      <x:c r="A141" t="str">
        <x:v>ML138</x:v>
      </x:c>
      <x:c r="B141" s="26" t="n">
        <x:v>9</x:v>
      </x:c>
      <x:c r="C141" s="26" t="n">
        <x:v>8</x:v>
      </x:c>
      <x:c r="D141" s="24" t="n">
        <x:v>60.53</x:v>
      </x:c>
      <x:c r="E141" s="24" t="n">
        <x:v>58.78</x:v>
      </x:c>
      <x:c r="F141" s="24" t="n">
        <x:v>46.2</x:v>
      </x:c>
      <x:c r="G141" s="24" t="n">
        <x:v>8.33</x:v>
      </x:c>
      <x:c r="H141" s="24" t="n">
        <x:v>42.37</x:v>
      </x:c>
      <x:c r="I141" s="24" t="n">
        <x:v>30.74</x:v>
      </x:c>
      <x:c r="J141" s="24" t="n">
        <x:v>75</x:v>
      </x:c>
      <x:c r="K141" s="24" t="n">
        <x:v>11.68</x:v>
      </x:c>
      <x:c r="L141" s="24" t="n">
        <x:v>3.16</x:v>
      </x:c>
      <x:c r="M141" s="24" t="n">
        <x:f>0.35*(100-D141)+0.10*(100-E141)+0.20*(100-I141)+0.15*J141+0.10*G141+0.10*K141+L141</x:f>
        <x:v>48.1995</x:v>
      </x:c>
      <x:c r="N141" t="str">
        <x:f>IF(M141&lt;27,"Low",IF(M141&lt;50,"Medium","High"))</x:f>
        <x:v>Medium</x:v>
      </x:c>
    </x:row>
    <x:row r="142">
      <x:c r="A142" t="str">
        <x:v>ML139</x:v>
      </x:c>
      <x:c r="B142" s="26" t="n">
        <x:v>4</x:v>
      </x:c>
      <x:c r="C142" s="26" t="n">
        <x:v>8</x:v>
      </x:c>
      <x:c r="D142" s="24" t="n">
        <x:v>59.21</x:v>
      </x:c>
      <x:c r="E142" s="24" t="n">
        <x:v>61.25</x:v>
      </x:c>
      <x:c r="F142" s="24" t="n">
        <x:v>54.39</x:v>
      </x:c>
      <x:c r="G142" s="24" t="n">
        <x:v>9.36</x:v>
      </x:c>
      <x:c r="H142" s="24" t="n">
        <x:v>43.39</x:v>
      </x:c>
      <x:c r="I142" s="24" t="n">
        <x:v>25.78</x:v>
      </x:c>
      <x:c r="J142" s="24" t="n">
        <x:v>75</x:v>
      </x:c>
      <x:c r="K142" s="24" t="n">
        <x:v>9.89</x:v>
      </x:c>
      <x:c r="L142" s="24" t="n">
        <x:v>-4.16</x:v>
      </x:c>
      <x:c r="M142" s="24" t="n">
        <x:f>0.35*(100-D142)+0.10*(100-E142)+0.20*(100-I142)+0.15*J142+0.10*G142+0.10*K142+L142</x:f>
        <x:v>42.01049999999999</x:v>
      </x:c>
      <x:c r="N142" t="str">
        <x:f>IF(M142&lt;27,"Low",IF(M142&lt;50,"Medium","High"))</x:f>
        <x:v>Medium</x:v>
      </x:c>
    </x:row>
    <x:row r="143">
      <x:c r="A143" t="str">
        <x:v>ML140</x:v>
      </x:c>
      <x:c r="B143" s="26" t="n">
        <x:v>5</x:v>
      </x:c>
      <x:c r="C143" s="26" t="n">
        <x:v>8</x:v>
      </x:c>
      <x:c r="D143" s="24" t="n">
        <x:v>75.64</x:v>
      </x:c>
      <x:c r="E143" s="24" t="n">
        <x:v>74.57</x:v>
      </x:c>
      <x:c r="F143" s="24" t="n">
        <x:v>66.72</x:v>
      </x:c>
      <x:c r="G143" s="24" t="n">
        <x:v>6.96</x:v>
      </x:c>
      <x:c r="H143" s="24" t="n">
        <x:v>74.38</x:v>
      </x:c>
      <x:c r="I143" s="24" t="n">
        <x:v>58.91</x:v>
      </x:c>
      <x:c r="J143" s="24" t="n">
        <x:v>0</x:v>
      </x:c>
      <x:c r="K143" s="24" t="n">
        <x:v>8.1</x:v>
      </x:c>
      <x:c r="L143" s="24" t="n">
        <x:v>4.39</x:v>
      </x:c>
      <x:c r="M143" s="24" t="n">
        <x:f>0.35*(100-D143)+0.10*(100-E143)+0.20*(100-I143)+0.15*J143+0.10*G143+0.10*K143+L143</x:f>
        <x:v>25.183000000000003</x:v>
      </x:c>
      <x:c r="N143" t="str">
        <x:f>IF(M143&lt;27,"Low",IF(M143&lt;50,"Medium","High"))</x:f>
        <x:v>Low</x:v>
      </x:c>
    </x:row>
    <x:row r="144">
      <x:c r="A144" t="str">
        <x:v>ML141</x:v>
      </x:c>
      <x:c r="B144" s="26" t="n">
        <x:v>5</x:v>
      </x:c>
      <x:c r="C144" s="26" t="n">
        <x:v>10</x:v>
      </x:c>
      <x:c r="D144" s="24" t="n">
        <x:v>58.8</x:v>
      </x:c>
      <x:c r="E144" s="24" t="n">
        <x:v>63.99</x:v>
      </x:c>
      <x:c r="F144" s="24" t="n">
        <x:v>39.31</x:v>
      </x:c>
      <x:c r="G144" s="24" t="n">
        <x:v>15.27</x:v>
      </x:c>
      <x:c r="H144" s="24" t="n">
        <x:v>62.33</x:v>
      </x:c>
      <x:c r="I144" s="24" t="n">
        <x:v>49.57</x:v>
      </x:c>
      <x:c r="J144" s="24" t="n">
        <x:v>10</x:v>
      </x:c>
      <x:c r="K144" s="24" t="n">
        <x:v>7.41</x:v>
      </x:c>
      <x:c r="L144" s="24" t="n">
        <x:v>-4.95</x:v>
      </x:c>
      <x:c r="M144" s="24" t="n">
        <x:f>0.35*(100-D144)+0.10*(100-E144)+0.20*(100-I144)+0.15*J144+0.10*G144+0.10*K144+L144</x:f>
        <x:v>26.925</x:v>
      </x:c>
      <x:c r="N144" t="str">
        <x:f>IF(M144&lt;27,"Low",IF(M144&lt;50,"Medium","High"))</x:f>
        <x:v>Low</x:v>
      </x:c>
    </x:row>
    <x:row r="145">
      <x:c r="A145" t="str">
        <x:v>ML142</x:v>
      </x:c>
      <x:c r="B145" s="26" t="n">
        <x:v>6</x:v>
      </x:c>
      <x:c r="C145" s="26" t="n">
        <x:v>8</x:v>
      </x:c>
      <x:c r="D145" s="24" t="n">
        <x:v>75.32</x:v>
      </x:c>
      <x:c r="E145" s="24" t="n">
        <x:v>73.44</x:v>
      </x:c>
      <x:c r="F145" s="24" t="n">
        <x:v>55.41</x:v>
      </x:c>
      <x:c r="G145" s="24" t="n">
        <x:v>9.57</x:v>
      </x:c>
      <x:c r="H145" s="24" t="n">
        <x:v>62.05</x:v>
      </x:c>
      <x:c r="I145" s="24" t="n">
        <x:v>50.58</x:v>
      </x:c>
      <x:c r="J145" s="24" t="n">
        <x:v>0</x:v>
      </x:c>
      <x:c r="K145" s="24" t="n">
        <x:v>6.29</x:v>
      </x:c>
      <x:c r="L145" s="24" t="n">
        <x:v>-2.9</x:v>
      </x:c>
      <x:c r="M145" s="24" t="n">
        <x:f>0.35*(100-D145)+0.10*(100-E145)+0.20*(100-I145)+0.15*J145+0.10*G145+0.10*K145+L145</x:f>
        <x:v>19.864000000000008</x:v>
      </x:c>
      <x:c r="N145" t="str">
        <x:f>IF(M145&lt;27,"Low",IF(M145&lt;50,"Medium","High"))</x:f>
        <x:v>Low</x:v>
      </x:c>
    </x:row>
    <x:row r="146">
      <x:c r="A146" t="str">
        <x:v>ML143</x:v>
      </x:c>
      <x:c r="B146" s="26" t="n">
        <x:v>5</x:v>
      </x:c>
      <x:c r="C146" s="26" t="n">
        <x:v>10</x:v>
      </x:c>
      <x:c r="D146" s="24" t="n">
        <x:v>43.57</x:v>
      </x:c>
      <x:c r="E146" s="24" t="n">
        <x:v>40.98</x:v>
      </x:c>
      <x:c r="F146" s="24" t="n">
        <x:v>11.5</x:v>
      </x:c>
      <x:c r="G146" s="24" t="n">
        <x:v>16.67</x:v>
      </x:c>
      <x:c r="H146" s="24" t="n">
        <x:v>28.47</x:v>
      </x:c>
      <x:c r="I146" s="24" t="n">
        <x:v>10.72</x:v>
      </x:c>
      <x:c r="J146" s="24" t="n">
        <x:v>100</x:v>
      </x:c>
      <x:c r="K146" s="24" t="n">
        <x:v>7.84</x:v>
      </x:c>
      <x:c r="L146" s="24" t="n">
        <x:v>-2.49</x:v>
      </x:c>
      <x:c r="M146" s="24" t="n">
        <x:f>0.35*(100-D146)+0.10*(100-E146)+0.20*(100-I146)+0.15*J146+0.10*G146+0.10*K146+L146</x:f>
        <x:v>58.4695</x:v>
      </x:c>
      <x:c r="N146" t="str">
        <x:f>IF(M146&lt;27,"Low",IF(M146&lt;50,"Medium","High"))</x:f>
        <x:v>High</x:v>
      </x:c>
    </x:row>
    <x:row r="147">
      <x:c r="A147" t="str">
        <x:v>ML144</x:v>
      </x:c>
      <x:c r="B147" s="26" t="n">
        <x:v>8</x:v>
      </x:c>
      <x:c r="C147" s="26" t="n">
        <x:v>6</x:v>
      </x:c>
      <x:c r="D147" s="24" t="n">
        <x:v>67.43</x:v>
      </x:c>
      <x:c r="E147" s="24" t="n">
        <x:v>67.37</x:v>
      </x:c>
      <x:c r="F147" s="24" t="n">
        <x:v>56.74</x:v>
      </x:c>
      <x:c r="G147" s="24" t="n">
        <x:v>6.84</x:v>
      </x:c>
      <x:c r="H147" s="24" t="n">
        <x:v>61.91</x:v>
      </x:c>
      <x:c r="I147" s="24" t="n">
        <x:v>52.76</x:v>
      </x:c>
      <x:c r="J147" s="24" t="n">
        <x:v>0</x:v>
      </x:c>
      <x:c r="K147" s="24" t="n">
        <x:v>7.82</x:v>
      </x:c>
      <x:c r="L147" s="24" t="n">
        <x:v>-2.85</x:v>
      </x:c>
      <x:c r="M147" s="24" t="n">
        <x:f>0.35*(100-D147)+0.10*(100-E147)+0.20*(100-I147)+0.15*J147+0.10*G147+0.10*K147+L147</x:f>
        <x:v>22.726499999999994</x:v>
      </x:c>
      <x:c r="N147" t="str">
        <x:f>IF(M147&lt;27,"Low",IF(M147&lt;50,"Medium","High"))</x:f>
        <x:v>Low</x:v>
      </x:c>
    </x:row>
    <x:row r="148">
      <x:c r="A148" t="str">
        <x:v>ML145</x:v>
      </x:c>
      <x:c r="B148" s="26" t="n">
        <x:v>5</x:v>
      </x:c>
      <x:c r="C148" s="26" t="n">
        <x:v>6</x:v>
      </x:c>
      <x:c r="D148" s="24" t="n">
        <x:v>57.79</x:v>
      </x:c>
      <x:c r="E148" s="24" t="n">
        <x:v>56.68</x:v>
      </x:c>
      <x:c r="F148" s="24" t="n">
        <x:v>48.25</x:v>
      </x:c>
      <x:c r="G148" s="24" t="n">
        <x:v>8.03</x:v>
      </x:c>
      <x:c r="H148" s="24" t="n">
        <x:v>50.51</x:v>
      </x:c>
      <x:c r="I148" s="24" t="n">
        <x:v>39.04</x:v>
      </x:c>
      <x:c r="J148" s="24" t="n">
        <x:v>66.67</x:v>
      </x:c>
      <x:c r="K148" s="24" t="n">
        <x:v>10.9</x:v>
      </x:c>
      <x:c r="L148" s="24" t="n">
        <x:v>2.87</x:v>
      </x:c>
      <x:c r="M148" s="24" t="n">
        <x:f>0.35*(100-D148)+0.10*(100-E148)+0.20*(100-I148)+0.15*J148+0.10*G148+0.10*K148+L148</x:f>
        <x:v>46.061</x:v>
      </x:c>
      <x:c r="N148" t="str">
        <x:f>IF(M148&lt;27,"Low",IF(M148&lt;50,"Medium","High"))</x:f>
        <x:v>Medium</x:v>
      </x:c>
    </x:row>
    <x:row r="149">
      <x:c r="A149" t="str">
        <x:v>ML146</x:v>
      </x:c>
      <x:c r="B149" s="26" t="n">
        <x:v>4</x:v>
      </x:c>
      <x:c r="C149" s="26" t="n">
        <x:v>4</x:v>
      </x:c>
      <x:c r="D149" s="24" t="n">
        <x:v>75.84</x:v>
      </x:c>
      <x:c r="E149" s="24" t="n">
        <x:v>75.93</x:v>
      </x:c>
      <x:c r="F149" s="24" t="n">
        <x:v>67.85</x:v>
      </x:c>
      <x:c r="G149" s="24" t="n">
        <x:v>6.19</x:v>
      </x:c>
      <x:c r="H149" s="24" t="n">
        <x:v>57.88</x:v>
      </x:c>
      <x:c r="I149" s="24" t="n">
        <x:v>40.29</x:v>
      </x:c>
      <x:c r="J149" s="24" t="n">
        <x:v>50</x:v>
      </x:c>
      <x:c r="K149" s="24" t="n">
        <x:v>14.57</x:v>
      </x:c>
      <x:c r="L149" s="24" t="n">
        <x:v>0.52</x:v>
      </x:c>
      <x:c r="M149" s="24" t="n">
        <x:f>0.35*(100-D149)+0.10*(100-E149)+0.20*(100-I149)+0.15*J149+0.10*G149+0.10*K149+L149</x:f>
        <x:v>32.901</x:v>
      </x:c>
      <x:c r="N149" t="str">
        <x:f>IF(M149&lt;27,"Low",IF(M149&lt;50,"Medium","High"))</x:f>
        <x:v>Medium</x:v>
      </x:c>
    </x:row>
    <x:row r="150">
      <x:c r="A150" t="str">
        <x:v>ML147</x:v>
      </x:c>
      <x:c r="B150" s="26" t="n">
        <x:v>8</x:v>
      </x:c>
      <x:c r="C150" s="26" t="n">
        <x:v>10</x:v>
      </x:c>
      <x:c r="D150" s="24" t="n">
        <x:v>91.84</x:v>
      </x:c>
      <x:c r="E150" s="24" t="n">
        <x:v>90.2</x:v>
      </x:c>
      <x:c r="F150" s="24" t="n">
        <x:v>83.4</x:v>
      </x:c>
      <x:c r="G150" s="24" t="n">
        <x:v>3.48</x:v>
      </x:c>
      <x:c r="H150" s="24" t="n">
        <x:v>83.54</x:v>
      </x:c>
      <x:c r="I150" s="24" t="n">
        <x:v>56.06</x:v>
      </x:c>
      <x:c r="J150" s="24" t="n">
        <x:v>0</x:v>
      </x:c>
      <x:c r="K150" s="24" t="n">
        <x:v>11.89</x:v>
      </x:c>
      <x:c r="L150" s="24" t="n">
        <x:v>4.57</x:v>
      </x:c>
      <x:c r="M150" s="24" t="n">
        <x:f>0.35*(100-D150)+0.10*(100-E150)+0.20*(100-I150)+0.15*J150+0.10*G150+0.10*K150+L150</x:f>
        <x:v>18.731</x:v>
      </x:c>
      <x:c r="N150" t="str">
        <x:f>IF(M150&lt;27,"Low",IF(M150&lt;50,"Medium","High"))</x:f>
        <x:v>Low</x:v>
      </x:c>
    </x:row>
    <x:row r="151">
      <x:c r="A151" t="str">
        <x:v>ML148</x:v>
      </x:c>
      <x:c r="B151" s="26" t="n">
        <x:v>8</x:v>
      </x:c>
      <x:c r="C151" s="26" t="n">
        <x:v>4</x:v>
      </x:c>
      <x:c r="D151" s="24" t="n">
        <x:v>56.03</x:v>
      </x:c>
      <x:c r="E151" s="24" t="n">
        <x:v>53.95</x:v>
      </x:c>
      <x:c r="F151" s="24" t="n">
        <x:v>41.13</x:v>
      </x:c>
      <x:c r="G151" s="24" t="n">
        <x:v>9.04</x:v>
      </x:c>
      <x:c r="H151" s="24" t="n">
        <x:v>46.23</x:v>
      </x:c>
      <x:c r="I151" s="24" t="n">
        <x:v>42.02</x:v>
      </x:c>
      <x:c r="J151" s="24" t="n">
        <x:v>100</x:v>
      </x:c>
      <x:c r="K151" s="24" t="n">
        <x:v>2.46</x:v>
      </x:c>
      <x:c r="L151" s="24" t="n">
        <x:v>5.76</x:v>
      </x:c>
      <x:c r="M151" s="24" t="n">
        <x:f>0.35*(100-D151)+0.10*(100-E151)+0.20*(100-I151)+0.15*J151+0.10*G151+0.10*K151+L151</x:f>
        <x:v>53.5005</x:v>
      </x:c>
      <x:c r="N151" t="str">
        <x:f>IF(M151&lt;27,"Low",IF(M151&lt;50,"Medium","High"))</x:f>
        <x:v>High</x:v>
      </x:c>
    </x:row>
    <x:row r="152">
      <x:c r="A152" t="str">
        <x:v>ML149</x:v>
      </x:c>
      <x:c r="B152" s="26" t="n">
        <x:v>4</x:v>
      </x:c>
      <x:c r="C152" s="26" t="n">
        <x:v>8</x:v>
      </x:c>
      <x:c r="D152" s="24" t="n">
        <x:v>41.4</x:v>
      </x:c>
      <x:c r="E152" s="24" t="n">
        <x:v>41.09</x:v>
      </x:c>
      <x:c r="F152" s="24" t="n">
        <x:v>34.64</x:v>
      </x:c>
      <x:c r="G152" s="24" t="n">
        <x:v>4.69</x:v>
      </x:c>
      <x:c r="H152" s="24" t="n">
        <x:v>37.95</x:v>
      </x:c>
      <x:c r="I152" s="24" t="n">
        <x:v>24.79</x:v>
      </x:c>
      <x:c r="J152" s="24" t="n">
        <x:v>75</x:v>
      </x:c>
      <x:c r="K152" s="24" t="n">
        <x:v>8.59</x:v>
      </x:c>
      <x:c r="L152" s="24" t="n">
        <x:v>1.61</x:v>
      </x:c>
      <x:c r="M152" s="24" t="n">
        <x:f>0.35*(100-D152)+0.10*(100-E152)+0.20*(100-I152)+0.15*J152+0.10*G152+0.10*K152+L152</x:f>
        <x:v>55.631</x:v>
      </x:c>
      <x:c r="N152" t="str">
        <x:f>IF(M152&lt;27,"Low",IF(M152&lt;50,"Medium","High"))</x:f>
        <x:v>High</x:v>
      </x:c>
    </x:row>
    <x:row r="153">
      <x:c r="A153" t="str">
        <x:v>ML150</x:v>
      </x:c>
      <x:c r="B153" s="26" t="n">
        <x:v>6</x:v>
      </x:c>
      <x:c r="C153" s="26" t="n">
        <x:v>6</x:v>
      </x:c>
      <x:c r="D153" s="24" t="n">
        <x:v>83.34</x:v>
      </x:c>
      <x:c r="E153" s="24" t="n">
        <x:v>88.18</x:v>
      </x:c>
      <x:c r="F153" s="24" t="n">
        <x:v>73</x:v>
      </x:c>
      <x:c r="G153" s="24" t="n">
        <x:v>8.78</x:v>
      </x:c>
      <x:c r="H153" s="24" t="n">
        <x:v>94.25</x:v>
      </x:c>
      <x:c r="I153" s="24" t="n">
        <x:v>79.03</x:v>
      </x:c>
      <x:c r="J153" s="24" t="n">
        <x:v>0</x:v>
      </x:c>
      <x:c r="K153" s="24" t="n">
        <x:v>7.12</x:v>
      </x:c>
      <x:c r="L153" s="24" t="n">
        <x:v>5.66</x:v>
      </x:c>
      <x:c r="M153" s="24" t="n">
        <x:f>0.35*(100-D153)+0.10*(100-E153)+0.20*(100-I153)+0.15*J153+0.10*G153+0.10*K153+L153</x:f>
        <x:v>18.456999999999997</x:v>
      </x:c>
      <x:c r="N153" t="str">
        <x:f>IF(M153&lt;27,"Low",IF(M153&lt;50,"Medium","High"))</x:f>
        <x:v>Low</x:v>
      </x:c>
    </x:row>
    <x:row r="154">
      <x:c r="A154" t="str">
        <x:v>ML151</x:v>
      </x:c>
      <x:c r="B154" s="26" t="n">
        <x:v>7</x:v>
      </x:c>
      <x:c r="C154" s="26" t="n">
        <x:v>5</x:v>
      </x:c>
      <x:c r="D154" s="24" t="n">
        <x:v>71.37</x:v>
      </x:c>
      <x:c r="E154" s="24" t="n">
        <x:v>68.75</x:v>
      </x:c>
      <x:c r="F154" s="24" t="n">
        <x:v>50.87</x:v>
      </x:c>
      <x:c r="G154" s="24" t="n">
        <x:v>12.12</x:v>
      </x:c>
      <x:c r="H154" s="24" t="n">
        <x:v>74.62</x:v>
      </x:c>
      <x:c r="I154" s="24" t="n">
        <x:v>42.66</x:v>
      </x:c>
      <x:c r="J154" s="24" t="n">
        <x:v>20</x:v>
      </x:c>
      <x:c r="K154" s="24" t="n">
        <x:v>19.27</x:v>
      </x:c>
      <x:c r="L154" s="24" t="n">
        <x:v>-0.01</x:v>
      </x:c>
      <x:c r="M154" s="24" t="n">
        <x:f>0.35*(100-D154)+0.10*(100-E154)+0.20*(100-I154)+0.15*J154+0.10*G154+0.10*K154+L154</x:f>
        <x:v>30.7425</x:v>
      </x:c>
      <x:c r="N154" t="str">
        <x:f>IF(M154&lt;27,"Low",IF(M154&lt;50,"Medium","High"))</x:f>
        <x:v>Medium</x:v>
      </x:c>
    </x:row>
    <x:row r="155">
      <x:c r="A155" t="str">
        <x:v>ML152</x:v>
      </x:c>
      <x:c r="B155" s="26" t="n">
        <x:v>8</x:v>
      </x:c>
      <x:c r="C155" s="26" t="n">
        <x:v>5</x:v>
      </x:c>
      <x:c r="D155" s="24" t="n">
        <x:v>42.52</x:v>
      </x:c>
      <x:c r="E155" s="24" t="n">
        <x:v>41.74</x:v>
      </x:c>
      <x:c r="F155" s="24" t="n">
        <x:v>29.49</x:v>
      </x:c>
      <x:c r="G155" s="24" t="n">
        <x:v>5.71</x:v>
      </x:c>
      <x:c r="H155" s="24" t="n">
        <x:v>28.85</x:v>
      </x:c>
      <x:c r="I155" s="24" t="n">
        <x:v>22.15</x:v>
      </x:c>
      <x:c r="J155" s="24" t="n">
        <x:v>100</x:v>
      </x:c>
      <x:c r="K155" s="24" t="n">
        <x:v>5.11</x:v>
      </x:c>
      <x:c r="L155" s="24" t="n">
        <x:v>-2.5</x:v>
      </x:c>
      <x:c r="M155" s="24" t="n">
        <x:f>0.35*(100-D155)+0.10*(100-E155)+0.20*(100-I155)+0.15*J155+0.10*G155+0.10*K155+L155</x:f>
        <x:v>55.096</x:v>
      </x:c>
      <x:c r="N155" t="str">
        <x:f>IF(M155&lt;27,"Low",IF(M155&lt;50,"Medium","High"))</x:f>
        <x:v>High</x:v>
      </x:c>
    </x:row>
    <x:row r="156">
      <x:c r="A156" t="str">
        <x:v>ML153</x:v>
      </x:c>
      <x:c r="B156" s="26" t="n">
        <x:v>7</x:v>
      </x:c>
      <x:c r="C156" s="26" t="n">
        <x:v>8</x:v>
      </x:c>
      <x:c r="D156" s="24" t="n">
        <x:v>70.55</x:v>
      </x:c>
      <x:c r="E156" s="24" t="n">
        <x:v>69.62</x:v>
      </x:c>
      <x:c r="F156" s="24" t="n">
        <x:v>42.34</x:v>
      </x:c>
      <x:c r="G156" s="24" t="n">
        <x:v>11.58</x:v>
      </x:c>
      <x:c r="H156" s="24" t="n">
        <x:v>63.58</x:v>
      </x:c>
      <x:c r="I156" s="24" t="n">
        <x:v>45.39</x:v>
      </x:c>
      <x:c r="J156" s="24" t="n">
        <x:v>12.5</x:v>
      </x:c>
      <x:c r="K156" s="24" t="n">
        <x:v>11.83</x:v>
      </x:c>
      <x:c r="L156" s="24" t="n">
        <x:v>3.69</x:v>
      </x:c>
      <x:c r="M156" s="24" t="n">
        <x:f>0.35*(100-D156)+0.10*(100-E156)+0.20*(100-I156)+0.15*J156+0.10*G156+0.10*K156+L156</x:f>
        <x:v>32.173500000000004</x:v>
      </x:c>
      <x:c r="N156" t="str">
        <x:f>IF(M156&lt;27,"Low",IF(M156&lt;50,"Medium","High"))</x:f>
        <x:v>Medium</x:v>
      </x:c>
    </x:row>
    <x:row r="157">
      <x:c r="A157" t="str">
        <x:v>ML154</x:v>
      </x:c>
      <x:c r="B157" s="26" t="n">
        <x:v>4</x:v>
      </x:c>
      <x:c r="C157" s="26" t="n">
        <x:v>8</x:v>
      </x:c>
      <x:c r="D157" s="24" t="n">
        <x:v>59.84</x:v>
      </x:c>
      <x:c r="E157" s="24" t="n">
        <x:v>61.02</x:v>
      </x:c>
      <x:c r="F157" s="24" t="n">
        <x:v>49.71</x:v>
      </x:c>
      <x:c r="G157" s="24" t="n">
        <x:v>8.51</x:v>
      </x:c>
      <x:c r="H157" s="24" t="n">
        <x:v>53.79</x:v>
      </x:c>
      <x:c r="I157" s="24" t="n">
        <x:v>33.58</x:v>
      </x:c>
      <x:c r="J157" s="24" t="n">
        <x:v>50</x:v>
      </x:c>
      <x:c r="K157" s="24" t="n">
        <x:v>14.28</x:v>
      </x:c>
      <x:c r="L157" s="24" t="n">
        <x:v>-7.01</x:v>
      </x:c>
      <x:c r="M157" s="24" t="n">
        <x:f>0.35*(100-D157)+0.10*(100-E157)+0.20*(100-I157)+0.15*J157+0.10*G157+0.10*K157+L157</x:f>
        <x:v>34.007</x:v>
      </x:c>
      <x:c r="N157" t="str">
        <x:f>IF(M157&lt;27,"Low",IF(M157&lt;50,"Medium","High"))</x:f>
        <x:v>Medium</x:v>
      </x:c>
    </x:row>
    <x:row r="158">
      <x:c r="A158" t="str">
        <x:v>ML155</x:v>
      </x:c>
      <x:c r="B158" s="26" t="n">
        <x:v>4</x:v>
      </x:c>
      <x:c r="C158" s="26" t="n">
        <x:v>7</x:v>
      </x:c>
      <x:c r="D158" s="24" t="n">
        <x:v>84.39</x:v>
      </x:c>
      <x:c r="E158" s="24" t="n">
        <x:v>81.84</x:v>
      </x:c>
      <x:c r="F158" s="24" t="n">
        <x:v>72.46</x:v>
      </x:c>
      <x:c r="G158" s="24" t="n">
        <x:v>5.63</x:v>
      </x:c>
      <x:c r="H158" s="24" t="n">
        <x:v>72.61</x:v>
      </x:c>
      <x:c r="I158" s="24" t="n">
        <x:v>61.2</x:v>
      </x:c>
      <x:c r="J158" s="24" t="n">
        <x:v>0</x:v>
      </x:c>
      <x:c r="K158" s="24" t="n">
        <x:v>8.59</x:v>
      </x:c>
      <x:c r="L158" s="24" t="n">
        <x:v>6.2</x:v>
      </x:c>
      <x:c r="M158" s="24" t="n">
        <x:f>0.35*(100-D158)+0.10*(100-E158)+0.20*(100-I158)+0.15*J158+0.10*G158+0.10*K158+L158</x:f>
        <x:v>22.6615</x:v>
      </x:c>
      <x:c r="N158" t="str">
        <x:f>IF(M158&lt;27,"Low",IF(M158&lt;50,"Medium","High"))</x:f>
        <x:v>Low</x:v>
      </x:c>
    </x:row>
    <x:row r="159">
      <x:c r="A159" t="str">
        <x:v>ML156</x:v>
      </x:c>
      <x:c r="B159" s="26" t="n">
        <x:v>6</x:v>
      </x:c>
      <x:c r="C159" s="26" t="n">
        <x:v>4</x:v>
      </x:c>
      <x:c r="D159" s="24" t="n">
        <x:v>70.24</x:v>
      </x:c>
      <x:c r="E159" s="24" t="n">
        <x:v>68.25</x:v>
      </x:c>
      <x:c r="F159" s="24" t="n">
        <x:v>52.58</x:v>
      </x:c>
      <x:c r="G159" s="24" t="n">
        <x:v>12.34</x:v>
      </x:c>
      <x:c r="H159" s="24" t="n">
        <x:v>59.29</x:v>
      </x:c>
      <x:c r="I159" s="24" t="n">
        <x:v>38.79</x:v>
      </x:c>
      <x:c r="J159" s="24" t="n">
        <x:v>25</x:v>
      </x:c>
      <x:c r="K159" s="24" t="n">
        <x:v>14.55</x:v>
      </x:c>
      <x:c r="L159" s="24" t="n">
        <x:v>-0.09</x:v>
      </x:c>
      <x:c r="M159" s="24" t="n">
        <x:f>0.35*(100-D159)+0.10*(100-E159)+0.20*(100-I159)+0.15*J159+0.10*G159+0.10*K159+L159</x:f>
        <x:v>32.181999999999995</x:v>
      </x:c>
      <x:c r="N159" t="str">
        <x:f>IF(M159&lt;27,"Low",IF(M159&lt;50,"Medium","High"))</x:f>
        <x:v>Medium</x:v>
      </x:c>
    </x:row>
    <x:row r="160">
      <x:c r="A160" t="str">
        <x:v>ML157</x:v>
      </x:c>
      <x:c r="B160" s="26" t="n">
        <x:v>6</x:v>
      </x:c>
      <x:c r="C160" s="26" t="n">
        <x:v>6</x:v>
      </x:c>
      <x:c r="D160" s="24" t="n">
        <x:v>69.27</x:v>
      </x:c>
      <x:c r="E160" s="24" t="n">
        <x:v>67.76</x:v>
      </x:c>
      <x:c r="F160" s="24" t="n">
        <x:v>50.02</x:v>
      </x:c>
      <x:c r="G160" s="24" t="n">
        <x:v>12.79</x:v>
      </x:c>
      <x:c r="H160" s="24" t="n">
        <x:v>71.62</x:v>
      </x:c>
      <x:c r="I160" s="24" t="n">
        <x:v>60.84</x:v>
      </x:c>
      <x:c r="J160" s="24" t="n">
        <x:v>0</x:v>
      </x:c>
      <x:c r="K160" s="24" t="n">
        <x:v>6.45</x:v>
      </x:c>
      <x:c r="L160" s="24" t="n">
        <x:v>3.96</x:v>
      </x:c>
      <x:c r="M160" s="24" t="n">
        <x:f>0.35*(100-D160)+0.10*(100-E160)+0.20*(100-I160)+0.15*J160+0.10*G160+0.10*K160+L160</x:f>
        <x:v>27.695500000000003</x:v>
      </x:c>
      <x:c r="N160" t="str">
        <x:f>IF(M160&lt;27,"Low",IF(M160&lt;50,"Medium","High"))</x:f>
        <x:v>Medium</x:v>
      </x:c>
    </x:row>
    <x:row r="161">
      <x:c r="A161" t="str">
        <x:v>ML158</x:v>
      </x:c>
      <x:c r="B161" s="26" t="n">
        <x:v>8</x:v>
      </x:c>
      <x:c r="C161" s="26" t="n">
        <x:v>5</x:v>
      </x:c>
      <x:c r="D161" s="24" t="n">
        <x:v>64.46</x:v>
      </x:c>
      <x:c r="E161" s="24" t="n">
        <x:v>66.57</x:v>
      </x:c>
      <x:c r="F161" s="24" t="n">
        <x:v>54.39</x:v>
      </x:c>
      <x:c r="G161" s="24" t="n">
        <x:v>6.76</x:v>
      </x:c>
      <x:c r="H161" s="24" t="n">
        <x:v>62.76</x:v>
      </x:c>
      <x:c r="I161" s="24" t="n">
        <x:v>45.73</x:v>
      </x:c>
      <x:c r="J161" s="24" t="n">
        <x:v>20</x:v>
      </x:c>
      <x:c r="K161" s="24" t="n">
        <x:v>10.64</x:v>
      </x:c>
      <x:c r="L161" s="24" t="n">
        <x:v>6.35</x:v>
      </x:c>
      <x:c r="M161" s="24" t="n">
        <x:f>0.35*(100-D161)+0.10*(100-E161)+0.20*(100-I161)+0.15*J161+0.10*G161+0.10*K161+L161</x:f>
        <x:v>37.726</x:v>
      </x:c>
      <x:c r="N161" t="str">
        <x:f>IF(M161&lt;27,"Low",IF(M161&lt;50,"Medium","High"))</x:f>
        <x:v>Medium</x:v>
      </x:c>
    </x:row>
    <x:row r="162">
      <x:c r="A162" t="str">
        <x:v>ML159</x:v>
      </x:c>
      <x:c r="B162" s="26" t="n">
        <x:v>8</x:v>
      </x:c>
      <x:c r="C162" s="26" t="n">
        <x:v>6</x:v>
      </x:c>
      <x:c r="D162" s="24" t="n">
        <x:v>49.25</x:v>
      </x:c>
      <x:c r="E162" s="24" t="n">
        <x:v>49.73</x:v>
      </x:c>
      <x:c r="F162" s="24" t="n">
        <x:v>40.89</x:v>
      </x:c>
      <x:c r="G162" s="24" t="n">
        <x:v>5.64</x:v>
      </x:c>
      <x:c r="H162" s="24" t="n">
        <x:v>51.24</x:v>
      </x:c>
      <x:c r="I162" s="24" t="n">
        <x:v>37.66</x:v>
      </x:c>
      <x:c r="J162" s="24" t="n">
        <x:v>50</x:v>
      </x:c>
      <x:c r="K162" s="24" t="n">
        <x:v>10.41</x:v>
      </x:c>
      <x:c r="L162" s="24" t="n">
        <x:v>2.17</x:v>
      </x:c>
      <x:c r="M162" s="24" t="n">
        <x:f>0.35*(100-D162)+0.10*(100-E162)+0.20*(100-I162)+0.15*J162+0.10*G162+0.10*K162+L162</x:f>
        <x:v>46.5325</x:v>
      </x:c>
      <x:c r="N162" t="str">
        <x:f>IF(M162&lt;27,"Low",IF(M162&lt;50,"Medium","High"))</x:f>
        <x:v>Medium</x:v>
      </x:c>
    </x:row>
    <x:row r="163">
      <x:c r="A163" t="str">
        <x:v>ML160</x:v>
      </x:c>
      <x:c r="B163" s="26" t="n">
        <x:v>5</x:v>
      </x:c>
      <x:c r="C163" s="26" t="n">
        <x:v>10</x:v>
      </x:c>
      <x:c r="D163" s="24" t="n">
        <x:v>31.78</x:v>
      </x:c>
      <x:c r="E163" s="24" t="n">
        <x:v>29.31</x:v>
      </x:c>
      <x:c r="F163" s="24" t="n">
        <x:v>15.38</x:v>
      </x:c>
      <x:c r="G163" s="24" t="n">
        <x:v>8</x:v>
      </x:c>
      <x:c r="H163" s="24" t="n">
        <x:v>28.29</x:v>
      </x:c>
      <x:c r="I163" s="24" t="n">
        <x:v>0</x:v>
      </x:c>
      <x:c r="J163" s="24" t="n">
        <x:v>100</x:v>
      </x:c>
      <x:c r="K163" s="24" t="n">
        <x:v>12.56</x:v>
      </x:c>
      <x:c r="L163" s="24" t="n">
        <x:v>-4.2</x:v>
      </x:c>
      <x:c r="M163" s="24" t="n">
        <x:f>0.35*(100-D163)+0.10*(100-E163)+0.20*(100-I163)+0.15*J163+0.10*G163+0.10*K163+L163</x:f>
        <x:v>63.80199999999999</x:v>
      </x:c>
      <x:c r="N163" t="str">
        <x:f>IF(M163&lt;27,"Low",IF(M163&lt;50,"Medium","High"))</x:f>
        <x:v>High</x:v>
      </x:c>
    </x:row>
    <x:row r="164">
      <x:c r="A164" t="str">
        <x:v>ML161</x:v>
      </x:c>
      <x:c r="B164" s="26" t="n">
        <x:v>5</x:v>
      </x:c>
      <x:c r="C164" s="26" t="n">
        <x:v>8</x:v>
      </x:c>
      <x:c r="D164" s="24" t="n">
        <x:v>86.92</x:v>
      </x:c>
      <x:c r="E164" s="24" t="n">
        <x:v>86.74</x:v>
      </x:c>
      <x:c r="F164" s="24" t="n">
        <x:v>77.88</x:v>
      </x:c>
      <x:c r="G164" s="24" t="n">
        <x:v>7.72</x:v>
      </x:c>
      <x:c r="H164" s="24" t="n">
        <x:v>86.33</x:v>
      </x:c>
      <x:c r="I164" s="24" t="n">
        <x:v>65.97</x:v>
      </x:c>
      <x:c r="J164" s="24" t="n">
        <x:v>0</x:v>
      </x:c>
      <x:c r="K164" s="24" t="n">
        <x:v>9.23</x:v>
      </x:c>
      <x:c r="L164" s="24" t="n">
        <x:v>4.54</x:v>
      </x:c>
      <x:c r="M164" s="24" t="n">
        <x:f>0.35*(100-D164)+0.10*(100-E164)+0.20*(100-I164)+0.15*J164+0.10*G164+0.10*K164+L164</x:f>
        <x:v>18.945</x:v>
      </x:c>
      <x:c r="N164" t="str">
        <x:f>IF(M164&lt;27,"Low",IF(M164&lt;50,"Medium","High"))</x:f>
        <x:v>Low</x:v>
      </x:c>
    </x:row>
    <x:row r="165">
      <x:c r="A165" t="str">
        <x:v>ML162</x:v>
      </x:c>
      <x:c r="B165" s="26" t="n">
        <x:v>7</x:v>
      </x:c>
      <x:c r="C165" s="26" t="n">
        <x:v>7</x:v>
      </x:c>
      <x:c r="D165" s="24" t="n">
        <x:v>57.54</x:v>
      </x:c>
      <x:c r="E165" s="24" t="n">
        <x:v>62.53</x:v>
      </x:c>
      <x:c r="F165" s="24" t="n">
        <x:v>48.78</x:v>
      </x:c>
      <x:c r="G165" s="24" t="n">
        <x:v>9.83</x:v>
      </x:c>
      <x:c r="H165" s="24" t="n">
        <x:v>62.58</x:v>
      </x:c>
      <x:c r="I165" s="24" t="n">
        <x:v>50.91</x:v>
      </x:c>
      <x:c r="J165" s="24" t="n">
        <x:v>0</x:v>
      </x:c>
      <x:c r="K165" s="24" t="n">
        <x:v>8.06</x:v>
      </x:c>
      <x:c r="L165" s="24" t="n">
        <x:v>-3.09</x:v>
      </x:c>
      <x:c r="M165" s="24" t="n">
        <x:f>0.35*(100-D165)+0.10*(100-E165)+0.20*(100-I165)+0.15*J165+0.10*G165+0.10*K165+L165</x:f>
        <x:v>27.125</x:v>
      </x:c>
      <x:c r="N165" t="str">
        <x:f>IF(M165&lt;27,"Low",IF(M165&lt;50,"Medium","High"))</x:f>
        <x:v>Medium</x:v>
      </x:c>
    </x:row>
    <x:row r="166">
      <x:c r="A166" t="str">
        <x:v>ML163</x:v>
      </x:c>
      <x:c r="B166" s="26" t="n">
        <x:v>6</x:v>
      </x:c>
      <x:c r="C166" s="26" t="n">
        <x:v>6</x:v>
      </x:c>
      <x:c r="D166" s="24" t="n">
        <x:v>81.76</x:v>
      </x:c>
      <x:c r="E166" s="24" t="n">
        <x:v>82.83</x:v>
      </x:c>
      <x:c r="F166" s="24" t="n">
        <x:v>75.18</x:v>
      </x:c>
      <x:c r="G166" s="24" t="n">
        <x:v>5.16</x:v>
      </x:c>
      <x:c r="H166" s="24" t="n">
        <x:v>72.5</x:v>
      </x:c>
      <x:c r="I166" s="24" t="n">
        <x:v>56.73</x:v>
      </x:c>
      <x:c r="J166" s="24" t="n">
        <x:v>0</x:v>
      </x:c>
      <x:c r="K166" s="24" t="n">
        <x:v>7.62</x:v>
      </x:c>
      <x:c r="L166" s="24" t="n">
        <x:v>-7.79</x:v>
      </x:c>
      <x:c r="M166" s="24" t="n">
        <x:f>0.35*(100-D166)+0.10*(100-E166)+0.20*(100-I166)+0.15*J166+0.10*G166+0.10*K166+L166</x:f>
        <x:v>10.243000000000002</x:v>
      </x:c>
      <x:c r="N166" t="str">
        <x:f>IF(M166&lt;27,"Low",IF(M166&lt;50,"Medium","High"))</x:f>
        <x:v>Low</x:v>
      </x:c>
    </x:row>
    <x:row r="167">
      <x:c r="A167" t="str">
        <x:v>ML164</x:v>
      </x:c>
      <x:c r="B167" s="26" t="n">
        <x:v>8</x:v>
      </x:c>
      <x:c r="C167" s="26" t="n">
        <x:v>10</x:v>
      </x:c>
      <x:c r="D167" s="24" t="n">
        <x:v>77.15</x:v>
      </x:c>
      <x:c r="E167" s="24" t="n">
        <x:v>75.3</x:v>
      </x:c>
      <x:c r="F167" s="24" t="n">
        <x:v>65.03</x:v>
      </x:c>
      <x:c r="G167" s="24" t="n">
        <x:v>5.84</x:v>
      </x:c>
      <x:c r="H167" s="24" t="n">
        <x:v>70.17</x:v>
      </x:c>
      <x:c r="I167" s="24" t="n">
        <x:v>48.58</x:v>
      </x:c>
      <x:c r="J167" s="24" t="n">
        <x:v>10</x:v>
      </x:c>
      <x:c r="K167" s="24" t="n">
        <x:v>9.09</x:v>
      </x:c>
      <x:c r="L167" s="24" t="n">
        <x:v>-4.04</x:v>
      </x:c>
      <x:c r="M167" s="24" t="n">
        <x:f>0.35*(100-D167)+0.10*(100-E167)+0.20*(100-I167)+0.15*J167+0.10*G167+0.10*K167+L167</x:f>
        <x:v>19.7045</x:v>
      </x:c>
      <x:c r="N167" t="str">
        <x:f>IF(M167&lt;27,"Low",IF(M167&lt;50,"Medium","High"))</x:f>
        <x:v>Low</x:v>
      </x:c>
    </x:row>
    <x:row r="168">
      <x:c r="A168" t="str">
        <x:v>ML165</x:v>
      </x:c>
      <x:c r="B168" s="26" t="n">
        <x:v>9</x:v>
      </x:c>
      <x:c r="C168" s="26" t="n">
        <x:v>8</x:v>
      </x:c>
      <x:c r="D168" s="24" t="n">
        <x:v>64.61</x:v>
      </x:c>
      <x:c r="E168" s="24" t="n">
        <x:v>64.93</x:v>
      </x:c>
      <x:c r="F168" s="24" t="n">
        <x:v>48.13</x:v>
      </x:c>
      <x:c r="G168" s="24" t="n">
        <x:v>11.06</x:v>
      </x:c>
      <x:c r="H168" s="24" t="n">
        <x:v>58.66</x:v>
      </x:c>
      <x:c r="I168" s="24" t="n">
        <x:v>38.48</x:v>
      </x:c>
      <x:c r="J168" s="24" t="n">
        <x:v>12.5</x:v>
      </x:c>
      <x:c r="K168" s="24" t="n">
        <x:v>8.49</x:v>
      </x:c>
      <x:c r="L168" s="24" t="n">
        <x:v>0.69</x:v>
      </x:c>
      <x:c r="M168" s="24" t="n">
        <x:f>0.35*(100-D168)+0.10*(100-E168)+0.20*(100-I168)+0.15*J168+0.10*G168+0.10*K168+L168</x:f>
        <x:v>32.7175</x:v>
      </x:c>
      <x:c r="N168" t="str">
        <x:f>IF(M168&lt;27,"Low",IF(M168&lt;50,"Medium","High"))</x:f>
        <x:v>Medium</x:v>
      </x:c>
    </x:row>
    <x:row r="169">
      <x:c r="A169" t="str">
        <x:v>ML166</x:v>
      </x:c>
      <x:c r="B169" s="26" t="n">
        <x:v>7</x:v>
      </x:c>
      <x:c r="C169" s="26" t="n">
        <x:v>4</x:v>
      </x:c>
      <x:c r="D169" s="24" t="n">
        <x:v>70.04</x:v>
      </x:c>
      <x:c r="E169" s="24" t="n">
        <x:v>67.21</x:v>
      </x:c>
      <x:c r="F169" s="24" t="n">
        <x:v>50.67</x:v>
      </x:c>
      <x:c r="G169" s="24" t="n">
        <x:v>9.76</x:v>
      </x:c>
      <x:c r="H169" s="24" t="n">
        <x:v>70.41</x:v>
      </x:c>
      <x:c r="I169" s="24" t="n">
        <x:v>60.98</x:v>
      </x:c>
      <x:c r="J169" s="24" t="n">
        <x:v>0</x:v>
      </x:c>
      <x:c r="K169" s="24" t="n">
        <x:v>8.06</x:v>
      </x:c>
      <x:c r="L169" s="24" t="n">
        <x:v>1.61</x:v>
      </x:c>
      <x:c r="M169" s="24" t="n">
        <x:f>0.35*(100-D169)+0.10*(100-E169)+0.20*(100-I169)+0.15*J169+0.10*G169+0.10*K169+L169</x:f>
        <x:v>24.961</x:v>
      </x:c>
      <x:c r="N169" t="str">
        <x:f>IF(M169&lt;27,"Low",IF(M169&lt;50,"Medium","High"))</x:f>
        <x:v>Low</x:v>
      </x:c>
    </x:row>
    <x:row r="170">
      <x:c r="A170" t="str">
        <x:v>ML167</x:v>
      </x:c>
      <x:c r="B170" s="26" t="n">
        <x:v>6</x:v>
      </x:c>
      <x:c r="C170" s="26" t="n">
        <x:v>5</x:v>
      </x:c>
      <x:c r="D170" s="24" t="n">
        <x:v>28.18</x:v>
      </x:c>
      <x:c r="E170" s="24" t="n">
        <x:v>31.17</x:v>
      </x:c>
      <x:c r="F170" s="24" t="n">
        <x:v>17.59</x:v>
      </x:c>
      <x:c r="G170" s="24" t="n">
        <x:v>9.65</x:v>
      </x:c>
      <x:c r="H170" s="24" t="n">
        <x:v>20.16</x:v>
      </x:c>
      <x:c r="I170" s="24" t="n">
        <x:v>5.74</x:v>
      </x:c>
      <x:c r="J170" s="24" t="n">
        <x:v>100</x:v>
      </x:c>
      <x:c r="K170" s="24" t="n">
        <x:v>9.13</x:v>
      </x:c>
      <x:c r="L170" s="24" t="n">
        <x:v>1.65</x:v>
      </x:c>
      <x:c r="M170" s="24" t="n">
        <x:f>0.35*(100-D170)+0.10*(100-E170)+0.20*(100-I170)+0.15*J170+0.10*G170+0.10*K170+L170</x:f>
        <x:v>69.4</x:v>
      </x:c>
      <x:c r="N170" t="str">
        <x:f>IF(M170&lt;27,"Low",IF(M170&lt;50,"Medium","High"))</x:f>
        <x:v>High</x:v>
      </x:c>
    </x:row>
    <x:row r="171">
      <x:c r="A171" t="str">
        <x:v>ML168</x:v>
      </x:c>
      <x:c r="B171" s="26" t="n">
        <x:v>5</x:v>
      </x:c>
      <x:c r="C171" s="26" t="n">
        <x:v>8</x:v>
      </x:c>
      <x:c r="D171" s="24" t="n">
        <x:v>41.71</x:v>
      </x:c>
      <x:c r="E171" s="24" t="n">
        <x:v>44.81</x:v>
      </x:c>
      <x:c r="F171" s="24" t="n">
        <x:v>33.08</x:v>
      </x:c>
      <x:c r="G171" s="24" t="n">
        <x:v>6.98</x:v>
      </x:c>
      <x:c r="H171" s="24" t="n">
        <x:v>21.26</x:v>
      </x:c>
      <x:c r="I171" s="24" t="n">
        <x:v>0</x:v>
      </x:c>
      <x:c r="J171" s="24" t="n">
        <x:v>100</x:v>
      </x:c>
      <x:c r="K171" s="24" t="n">
        <x:v>16.96</x:v>
      </x:c>
      <x:c r="L171" s="24" t="n">
        <x:v>-5.3</x:v>
      </x:c>
      <x:c r="M171" s="24" t="n">
        <x:f>0.35*(100-D171)+0.10*(100-E171)+0.20*(100-I171)+0.15*J171+0.10*G171+0.10*K171+L171</x:f>
        <x:v>58.0145</x:v>
      </x:c>
      <x:c r="N171" t="str">
        <x:f>IF(M171&lt;27,"Low",IF(M171&lt;50,"Medium","High"))</x:f>
        <x:v>High</x:v>
      </x:c>
    </x:row>
    <x:row r="172">
      <x:c r="A172" t="str">
        <x:v>ML169</x:v>
      </x:c>
      <x:c r="B172" s="26" t="n">
        <x:v>4</x:v>
      </x:c>
      <x:c r="C172" s="26" t="n">
        <x:v>7</x:v>
      </x:c>
      <x:c r="D172" s="24" t="n">
        <x:v>75.15</x:v>
      </x:c>
      <x:c r="E172" s="24" t="n">
        <x:v>76.31</x:v>
      </x:c>
      <x:c r="F172" s="24" t="n">
        <x:v>61.97</x:v>
      </x:c>
      <x:c r="G172" s="24" t="n">
        <x:v>8.71</x:v>
      </x:c>
      <x:c r="H172" s="24" t="n">
        <x:v>72.56</x:v>
      </x:c>
      <x:c r="I172" s="24" t="n">
        <x:v>44.57</x:v>
      </x:c>
      <x:c r="J172" s="24" t="n">
        <x:v>14.29</x:v>
      </x:c>
      <x:c r="K172" s="24" t="n">
        <x:v>11.7</x:v>
      </x:c>
      <x:c r="L172" s="24" t="n">
        <x:v>1.83</x:v>
      </x:c>
      <x:c r="M172" s="24" t="n">
        <x:f>0.35*(100-D172)+0.10*(100-E172)+0.20*(100-I172)+0.15*J172+0.10*G172+0.10*K172+L172</x:f>
        <x:v>28.166999999999994</x:v>
      </x:c>
      <x:c r="N172" t="str">
        <x:f>IF(M172&lt;27,"Low",IF(M172&lt;50,"Medium","High"))</x:f>
        <x:v>Medium</x:v>
      </x:c>
    </x:row>
    <x:row r="173">
      <x:c r="A173" t="str">
        <x:v>ML170</x:v>
      </x:c>
      <x:c r="B173" s="26" t="n">
        <x:v>8</x:v>
      </x:c>
      <x:c r="C173" s="26" t="n">
        <x:v>9</x:v>
      </x:c>
      <x:c r="D173" s="24" t="n">
        <x:v>60.02</x:v>
      </x:c>
      <x:c r="E173" s="24" t="n">
        <x:v>60.45</x:v>
      </x:c>
      <x:c r="F173" s="24" t="n">
        <x:v>50.99</x:v>
      </x:c>
      <x:c r="G173" s="24" t="n">
        <x:v>4.44</x:v>
      </x:c>
      <x:c r="H173" s="24" t="n">
        <x:v>58.33</x:v>
      </x:c>
      <x:c r="I173" s="24" t="n">
        <x:v>42.1</x:v>
      </x:c>
      <x:c r="J173" s="24" t="n">
        <x:v>44.44</x:v>
      </x:c>
      <x:c r="K173" s="24" t="n">
        <x:v>11.17</x:v>
      </x:c>
      <x:c r="L173" s="24" t="n">
        <x:v>4.01</x:v>
      </x:c>
      <x:c r="M173" s="24" t="n">
        <x:f>0.35*(100-D173)+0.10*(100-E173)+0.20*(100-I173)+0.15*J173+0.10*G173+0.10*K173+L173</x:f>
        <x:v>41.76499999999999</x:v>
      </x:c>
      <x:c r="N173" t="str">
        <x:f>IF(M173&lt;27,"Low",IF(M173&lt;50,"Medium","High"))</x:f>
        <x:v>Medium</x:v>
      </x:c>
    </x:row>
    <x:row r="174">
      <x:c r="A174" t="str">
        <x:v>ML171</x:v>
      </x:c>
      <x:c r="B174" s="26" t="n">
        <x:v>4</x:v>
      </x:c>
      <x:c r="C174" s="26" t="n">
        <x:v>5</x:v>
      </x:c>
      <x:c r="D174" s="24" t="n">
        <x:v>79.29</x:v>
      </x:c>
      <x:c r="E174" s="24" t="n">
        <x:v>80</x:v>
      </x:c>
      <x:c r="F174" s="24" t="n">
        <x:v>70.39</x:v>
      </x:c>
      <x:c r="G174" s="24" t="n">
        <x:v>6.04</x:v>
      </x:c>
      <x:c r="H174" s="24" t="n">
        <x:v>67.89</x:v>
      </x:c>
      <x:c r="I174" s="24" t="n">
        <x:v>31.93</x:v>
      </x:c>
      <x:c r="J174" s="24" t="n">
        <x:v>40</x:v>
      </x:c>
      <x:c r="K174" s="24" t="n">
        <x:v>27.76</x:v>
      </x:c>
      <x:c r="L174" s="24" t="n">
        <x:v>11.13</x:v>
      </x:c>
      <x:c r="M174" s="24" t="n">
        <x:f>0.35*(100-D174)+0.10*(100-E174)+0.20*(100-I174)+0.15*J174+0.10*G174+0.10*K174+L174</x:f>
        <x:v>43.3725</x:v>
      </x:c>
      <x:c r="N174" t="str">
        <x:f>IF(M174&lt;27,"Low",IF(M174&lt;50,"Medium","High"))</x:f>
        <x:v>Medium</x:v>
      </x:c>
    </x:row>
    <x:row r="175">
      <x:c r="A175" t="str">
        <x:v>ML172</x:v>
      </x:c>
      <x:c r="B175" s="26" t="n">
        <x:v>5</x:v>
      </x:c>
      <x:c r="C175" s="26" t="n">
        <x:v>7</x:v>
      </x:c>
      <x:c r="D175" s="24" t="n">
        <x:v>63.22</x:v>
      </x:c>
      <x:c r="E175" s="24" t="n">
        <x:v>68.93</x:v>
      </x:c>
      <x:c r="F175" s="24" t="n">
        <x:v>56.7</x:v>
      </x:c>
      <x:c r="G175" s="24" t="n">
        <x:v>11.47</x:v>
      </x:c>
      <x:c r="H175" s="24" t="n">
        <x:v>69.88</x:v>
      </x:c>
      <x:c r="I175" s="24" t="n">
        <x:v>46.66</x:v>
      </x:c>
      <x:c r="J175" s="24" t="n">
        <x:v>14.29</x:v>
      </x:c>
      <x:c r="K175" s="24" t="n">
        <x:v>12.96</x:v>
      </x:c>
      <x:c r="L175" s="24" t="n">
        <x:v>-2.58</x:v>
      </x:c>
      <x:c r="M175" s="24" t="n">
        <x:f>0.35*(100-D175)+0.10*(100-E175)+0.20*(100-I175)+0.15*J175+0.10*G175+0.10*K175+L175</x:f>
        <x:v>28.6545</x:v>
      </x:c>
      <x:c r="N175" t="str">
        <x:f>IF(M175&lt;27,"Low",IF(M175&lt;50,"Medium","High"))</x:f>
        <x:v>Medium</x:v>
      </x:c>
    </x:row>
    <x:row r="176">
      <x:c r="A176" t="str">
        <x:v>ML173</x:v>
      </x:c>
      <x:c r="B176" s="26" t="n">
        <x:v>6</x:v>
      </x:c>
      <x:c r="C176" s="26" t="n">
        <x:v>5</x:v>
      </x:c>
      <x:c r="D176" s="24" t="n">
        <x:v>75.67</x:v>
      </x:c>
      <x:c r="E176" s="24" t="n">
        <x:v>72.45</x:v>
      </x:c>
      <x:c r="F176" s="24" t="n">
        <x:v>65.11</x:v>
      </x:c>
      <x:c r="G176" s="24" t="n">
        <x:v>5.68</x:v>
      </x:c>
      <x:c r="H176" s="24" t="n">
        <x:v>61.07</x:v>
      </x:c>
      <x:c r="I176" s="24" t="n">
        <x:v>13.48</x:v>
      </x:c>
      <x:c r="J176" s="24" t="n">
        <x:v>40</x:v>
      </x:c>
      <x:c r="K176" s="24" t="n">
        <x:v>33.69</x:v>
      </x:c>
      <x:c r="L176" s="24" t="n">
        <x:v>8.88</x:v>
      </x:c>
      <x:c r="M176" s="24" t="n">
        <x:f>0.35*(100-D176)+0.10*(100-E176)+0.20*(100-I176)+0.15*J176+0.10*G176+0.10*K176+L176</x:f>
        <x:v>47.3915</x:v>
      </x:c>
      <x:c r="N176" t="str">
        <x:f>IF(M176&lt;27,"Low",IF(M176&lt;50,"Medium","High"))</x:f>
        <x:v>Medium</x:v>
      </x:c>
    </x:row>
    <x:row r="177">
      <x:c r="A177" t="str">
        <x:v>ML174</x:v>
      </x:c>
      <x:c r="B177" s="26" t="n">
        <x:v>4</x:v>
      </x:c>
      <x:c r="C177" s="26" t="n">
        <x:v>7</x:v>
      </x:c>
      <x:c r="D177" s="24" t="n">
        <x:v>49.11</x:v>
      </x:c>
      <x:c r="E177" s="24" t="n">
        <x:v>50.02</x:v>
      </x:c>
      <x:c r="F177" s="24" t="n">
        <x:v>44.3</x:v>
      </x:c>
      <x:c r="G177" s="24" t="n">
        <x:v>5.52</x:v>
      </x:c>
      <x:c r="H177" s="24" t="n">
        <x:v>44.09</x:v>
      </x:c>
      <x:c r="I177" s="24" t="n">
        <x:v>34.27</x:v>
      </x:c>
      <x:c r="J177" s="24" t="n">
        <x:v>71.43</x:v>
      </x:c>
      <x:c r="K177" s="24" t="n">
        <x:v>8.52</x:v>
      </x:c>
      <x:c r="L177" s="24" t="n">
        <x:v>7.95</x:v>
      </x:c>
      <x:c r="M177" s="24" t="n">
        <x:f>0.35*(100-D177)+0.10*(100-E177)+0.20*(100-I177)+0.15*J177+0.10*G177+0.10*K177+L177</x:f>
        <x:v>56.024</x:v>
      </x:c>
      <x:c r="N177" t="str">
        <x:f>IF(M177&lt;27,"Low",IF(M177&lt;50,"Medium","High"))</x:f>
        <x:v>High</x:v>
      </x:c>
    </x:row>
    <x:row r="178">
      <x:c r="A178" t="str">
        <x:v>ML175</x:v>
      </x:c>
      <x:c r="B178" s="26" t="n">
        <x:v>7</x:v>
      </x:c>
      <x:c r="C178" s="26" t="n">
        <x:v>5</x:v>
      </x:c>
      <x:c r="D178" s="24" t="n">
        <x:v>80.25</x:v>
      </x:c>
      <x:c r="E178" s="24" t="n">
        <x:v>82.21</x:v>
      </x:c>
      <x:c r="F178" s="24" t="n">
        <x:v>72.18</x:v>
      </x:c>
      <x:c r="G178" s="24" t="n">
        <x:v>5.83</x:v>
      </x:c>
      <x:c r="H178" s="24" t="n">
        <x:v>80</x:v>
      </x:c>
      <x:c r="I178" s="24" t="n">
        <x:v>68.99</x:v>
      </x:c>
      <x:c r="J178" s="24" t="n">
        <x:v>0</x:v>
      </x:c>
      <x:c r="K178" s="24" t="n">
        <x:v>8.67</x:v>
      </x:c>
      <x:c r="L178" s="24" t="n">
        <x:v>0.51</x:v>
      </x:c>
      <x:c r="M178" s="24" t="n">
        <x:f>0.35*(100-D178)+0.10*(100-E178)+0.20*(100-I178)+0.15*J178+0.10*G178+0.10*K178+L178</x:f>
        <x:v>16.853500000000004</x:v>
      </x:c>
      <x:c r="N178" t="str">
        <x:f>IF(M178&lt;27,"Low",IF(M178&lt;50,"Medium","High"))</x:f>
        <x:v>Low</x:v>
      </x:c>
    </x:row>
    <x:row r="179">
      <x:c r="A179" t="str">
        <x:v>ML176</x:v>
      </x:c>
      <x:c r="B179" s="26" t="n">
        <x:v>7</x:v>
      </x:c>
      <x:c r="C179" s="26" t="n">
        <x:v>4</x:v>
      </x:c>
      <x:c r="D179" s="24" t="n">
        <x:v>77.18</x:v>
      </x:c>
      <x:c r="E179" s="24" t="n">
        <x:v>75.83</x:v>
      </x:c>
      <x:c r="F179" s="24" t="n">
        <x:v>63.08</x:v>
      </x:c>
      <x:c r="G179" s="24" t="n">
        <x:v>9.97</x:v>
      </x:c>
      <x:c r="H179" s="24" t="n">
        <x:v>68.02</x:v>
      </x:c>
      <x:c r="I179" s="24" t="n">
        <x:v>57.25</x:v>
      </x:c>
      <x:c r="J179" s="24" t="n">
        <x:v>0</x:v>
      </x:c>
      <x:c r="K179" s="24" t="n">
        <x:v>7.64</x:v>
      </x:c>
      <x:c r="L179" s="24" t="n">
        <x:v>5.06</x:v>
      </x:c>
      <x:c r="M179" s="24" t="n">
        <x:f>0.35*(100-D179)+0.10*(100-E179)+0.20*(100-I179)+0.15*J179+0.10*G179+0.10*K179+L179</x:f>
        <x:v>25.775</x:v>
      </x:c>
      <x:c r="N179" t="str">
        <x:f>IF(M179&lt;27,"Low",IF(M179&lt;50,"Medium","High"))</x:f>
        <x:v>Low</x:v>
      </x:c>
    </x:row>
    <x:row r="180">
      <x:c r="A180" t="str">
        <x:v>ML177</x:v>
      </x:c>
      <x:c r="B180" s="26" t="n">
        <x:v>4</x:v>
      </x:c>
      <x:c r="C180" s="26" t="n">
        <x:v>7</x:v>
      </x:c>
      <x:c r="D180" s="24" t="n">
        <x:v>67.3</x:v>
      </x:c>
      <x:c r="E180" s="24" t="n">
        <x:v>67.23</x:v>
      </x:c>
      <x:c r="F180" s="24" t="n">
        <x:v>52.57</x:v>
      </x:c>
      <x:c r="G180" s="24" t="n">
        <x:v>8.57</x:v>
      </x:c>
      <x:c r="H180" s="24" t="n">
        <x:v>63.21</x:v>
      </x:c>
      <x:c r="I180" s="24" t="n">
        <x:v>34.76</x:v>
      </x:c>
      <x:c r="J180" s="24" t="n">
        <x:v>28.57</x:v>
      </x:c>
      <x:c r="K180" s="24" t="n">
        <x:v>15.37</x:v>
      </x:c>
      <x:c r="L180" s="24" t="n">
        <x:v>1.61</x:v>
      </x:c>
      <x:c r="M180" s="24" t="n">
        <x:f>0.35*(100-D180)+0.10*(100-E180)+0.20*(100-I180)+0.15*J180+0.10*G180+0.10*K180+L180</x:f>
        <x:v>36.0595</x:v>
      </x:c>
      <x:c r="N180" t="str">
        <x:f>IF(M180&lt;27,"Low",IF(M180&lt;50,"Medium","High"))</x:f>
        <x:v>Medium</x:v>
      </x:c>
    </x:row>
    <x:row r="181">
      <x:c r="A181" t="str">
        <x:v>ML178</x:v>
      </x:c>
      <x:c r="B181" s="26" t="n">
        <x:v>4</x:v>
      </x:c>
      <x:c r="C181" s="26" t="n">
        <x:v>10</x:v>
      </x:c>
      <x:c r="D181" s="24" t="n">
        <x:v>63.99</x:v>
      </x:c>
      <x:c r="E181" s="24" t="n">
        <x:v>58.74</x:v>
      </x:c>
      <x:c r="F181" s="24" t="n">
        <x:v>41.61</x:v>
      </x:c>
      <x:c r="G181" s="24" t="n">
        <x:v>14.16</x:v>
      </x:c>
      <x:c r="H181" s="24" t="n">
        <x:v>59.35</x:v>
      </x:c>
      <x:c r="I181" s="24" t="n">
        <x:v>44.06</x:v>
      </x:c>
      <x:c r="J181" s="24" t="n">
        <x:v>10</x:v>
      </x:c>
      <x:c r="K181" s="24" t="n">
        <x:v>7.57</x:v>
      </x:c>
      <x:c r="L181" s="24" t="n">
        <x:v>0.09</x:v>
      </x:c>
      <x:c r="M181" s="24" t="n">
        <x:f>0.35*(100-D181)+0.10*(100-E181)+0.20*(100-I181)+0.15*J181+0.10*G181+0.10*K181+L181</x:f>
        <x:v>31.6805</x:v>
      </x:c>
      <x:c r="N181" t="str">
        <x:f>IF(M181&lt;27,"Low",IF(M181&lt;50,"Medium","High"))</x:f>
        <x:v>Medium</x:v>
      </x:c>
    </x:row>
    <x:row r="182">
      <x:c r="A182" t="str">
        <x:v>ML179</x:v>
      </x:c>
      <x:c r="B182" s="26" t="n">
        <x:v>9</x:v>
      </x:c>
      <x:c r="C182" s="26" t="n">
        <x:v>7</x:v>
      </x:c>
      <x:c r="D182" s="24" t="n">
        <x:v>41.92</x:v>
      </x:c>
      <x:c r="E182" s="24" t="n">
        <x:v>42.96</x:v>
      </x:c>
      <x:c r="F182" s="24" t="n">
        <x:v>37.23</x:v>
      </x:c>
      <x:c r="G182" s="24" t="n">
        <x:v>5.63</x:v>
      </x:c>
      <x:c r="H182" s="24" t="n">
        <x:v>44.58</x:v>
      </x:c>
      <x:c r="I182" s="24" t="n">
        <x:v>36.45</x:v>
      </x:c>
      <x:c r="J182" s="24" t="n">
        <x:v>71.43</x:v>
      </x:c>
      <x:c r="K182" s="24" t="n">
        <x:v>5.52</x:v>
      </x:c>
      <x:c r="L182" s="24" t="n">
        <x:v>-0.36</x:v>
      </x:c>
      <x:c r="M182" s="24" t="n">
        <x:f>0.35*(100-D182)+0.10*(100-E182)+0.20*(100-I182)+0.15*J182+0.10*G182+0.10*K182+L182</x:f>
        <x:v>50.21150000000001</x:v>
      </x:c>
      <x:c r="N182" t="str">
        <x:f>IF(M182&lt;27,"Low",IF(M182&lt;50,"Medium","High"))</x:f>
        <x:v>High</x:v>
      </x:c>
    </x:row>
    <x:row r="183">
      <x:c r="A183" t="str">
        <x:v>ML180</x:v>
      </x:c>
      <x:c r="B183" s="26" t="n">
        <x:v>9</x:v>
      </x:c>
      <x:c r="C183" s="26" t="n">
        <x:v>6</x:v>
      </x:c>
      <x:c r="D183" s="24" t="n">
        <x:v>24.16</x:v>
      </x:c>
      <x:c r="E183" s="24" t="n">
        <x:v>23.73</x:v>
      </x:c>
      <x:c r="F183" s="24" t="n">
        <x:v>16.1</x:v>
      </x:c>
      <x:c r="G183" s="24" t="n">
        <x:v>4.83</x:v>
      </x:c>
      <x:c r="H183" s="24" t="n">
        <x:v>15.01</x:v>
      </x:c>
      <x:c r="I183" s="24" t="n">
        <x:v>0</x:v>
      </x:c>
      <x:c r="J183" s="24" t="n">
        <x:v>100</x:v>
      </x:c>
      <x:c r="K183" s="24" t="n">
        <x:v>14.26</x:v>
      </x:c>
      <x:c r="L183" s="24" t="n">
        <x:v>-3.19</x:v>
      </x:c>
      <x:c r="M183" s="24" t="n">
        <x:f>0.35*(100-D183)+0.10*(100-E183)+0.20*(100-I183)+0.15*J183+0.10*G183+0.10*K183+L183</x:f>
        <x:v>67.89</x:v>
      </x:c>
      <x:c r="N183" t="str">
        <x:f>IF(M183&lt;27,"Low",IF(M183&lt;50,"Medium","High"))</x:f>
        <x:v>High</x:v>
      </x:c>
    </x:row>
    <x:row r="184">
      <x:c r="A184" t="str">
        <x:v>ML181</x:v>
      </x:c>
      <x:c r="B184" s="26" t="n">
        <x:v>9</x:v>
      </x:c>
      <x:c r="C184" s="26" t="n">
        <x:v>9</x:v>
      </x:c>
      <x:c r="D184" s="24" t="n">
        <x:v>47.12</x:v>
      </x:c>
      <x:c r="E184" s="24" t="n">
        <x:v>46.76</x:v>
      </x:c>
      <x:c r="F184" s="24" t="n">
        <x:v>27.3</x:v>
      </x:c>
      <x:c r="G184" s="24" t="n">
        <x:v>12.16</x:v>
      </x:c>
      <x:c r="H184" s="24" t="n">
        <x:v>39.71</x:v>
      </x:c>
      <x:c r="I184" s="24" t="n">
        <x:v>28.15</x:v>
      </x:c>
      <x:c r="J184" s="24" t="n">
        <x:v>88.89</x:v>
      </x:c>
      <x:c r="K184" s="24" t="n">
        <x:v>8.09</x:v>
      </x:c>
      <x:c r="L184" s="24" t="n">
        <x:v>-7.43</x:v>
      </x:c>
      <x:c r="M184" s="24" t="n">
        <x:f>0.35*(100-D184)+0.10*(100-E184)+0.20*(100-I184)+0.15*J184+0.10*G184+0.10*K184+L184</x:f>
        <x:v>46.1305</x:v>
      </x:c>
      <x:c r="N184" t="str">
        <x:f>IF(M184&lt;27,"Low",IF(M184&lt;50,"Medium","High"))</x:f>
        <x:v>Medium</x:v>
      </x:c>
    </x:row>
    <x:row r="185">
      <x:c r="A185" t="str">
        <x:v>ML182</x:v>
      </x:c>
      <x:c r="B185" s="26" t="n">
        <x:v>5</x:v>
      </x:c>
      <x:c r="C185" s="26" t="n">
        <x:v>10</x:v>
      </x:c>
      <x:c r="D185" s="24" t="n">
        <x:v>33.48</x:v>
      </x:c>
      <x:c r="E185" s="24" t="n">
        <x:v>32.67</x:v>
      </x:c>
      <x:c r="F185" s="24" t="n">
        <x:v>23.48</x:v>
      </x:c>
      <x:c r="G185" s="24" t="n">
        <x:v>7.61</x:v>
      </x:c>
      <x:c r="H185" s="24" t="n">
        <x:v>25.54</x:v>
      </x:c>
      <x:c r="I185" s="24" t="n">
        <x:v>0</x:v>
      </x:c>
      <x:c r="J185" s="24" t="n">
        <x:v>100</x:v>
      </x:c>
      <x:c r="K185" s="24" t="n">
        <x:v>14.43</x:v>
      </x:c>
      <x:c r="L185" s="24" t="n">
        <x:v>-0.58</x:v>
      </x:c>
      <x:c r="M185" s="24" t="n">
        <x:f>0.35*(100-D185)+0.10*(100-E185)+0.20*(100-I185)+0.15*J185+0.10*G185+0.10*K185+L185</x:f>
        <x:v>66.639</x:v>
      </x:c>
      <x:c r="N185" t="str">
        <x:f>IF(M185&lt;27,"Low",IF(M185&lt;50,"Medium","High"))</x:f>
        <x:v>High</x:v>
      </x:c>
    </x:row>
    <x:row r="186">
      <x:c r="A186" t="str">
        <x:v>ML183</x:v>
      </x:c>
      <x:c r="B186" s="26" t="n">
        <x:v>6</x:v>
      </x:c>
      <x:c r="C186" s="26" t="n">
        <x:v>9</x:v>
      </x:c>
      <x:c r="D186" s="24" t="n">
        <x:v>60.2</x:v>
      </x:c>
      <x:c r="E186" s="24" t="n">
        <x:v>58.44</x:v>
      </x:c>
      <x:c r="F186" s="24" t="n">
        <x:v>47.07</x:v>
      </x:c>
      <x:c r="G186" s="24" t="n">
        <x:v>6.46</x:v>
      </x:c>
      <x:c r="H186" s="24" t="n">
        <x:v>63.78</x:v>
      </x:c>
      <x:c r="I186" s="24" t="n">
        <x:v>50.03</x:v>
      </x:c>
      <x:c r="J186" s="24" t="n">
        <x:v>0</x:v>
      </x:c>
      <x:c r="K186" s="24" t="n">
        <x:v>10.5</x:v>
      </x:c>
      <x:c r="L186" s="24" t="n">
        <x:v>-1.87</x:v>
      </x:c>
      <x:c r="M186" s="24" t="n">
        <x:f>0.35*(100-D186)+0.10*(100-E186)+0.20*(100-I186)+0.15*J186+0.10*G186+0.10*K186+L186</x:f>
        <x:v>27.906</x:v>
      </x:c>
      <x:c r="N186" t="str">
        <x:f>IF(M186&lt;27,"Low",IF(M186&lt;50,"Medium","High"))</x:f>
        <x:v>Medium</x:v>
      </x:c>
    </x:row>
    <x:row r="187">
      <x:c r="A187" t="str">
        <x:v>ML184</x:v>
      </x:c>
      <x:c r="B187" s="26" t="n">
        <x:v>7</x:v>
      </x:c>
      <x:c r="C187" s="26" t="n">
        <x:v>9</x:v>
      </x:c>
      <x:c r="D187" s="24" t="n">
        <x:v>75.54</x:v>
      </x:c>
      <x:c r="E187" s="24" t="n">
        <x:v>78.95</x:v>
      </x:c>
      <x:c r="F187" s="24" t="n">
        <x:v>69.18</x:v>
      </x:c>
      <x:c r="G187" s="24" t="n">
        <x:v>8.36</x:v>
      </x:c>
      <x:c r="H187" s="24" t="n">
        <x:v>74.83</x:v>
      </x:c>
      <x:c r="I187" s="24" t="n">
        <x:v>55.36</x:v>
      </x:c>
      <x:c r="J187" s="24" t="n">
        <x:v>0</x:v>
      </x:c>
      <x:c r="K187" s="24" t="n">
        <x:v>9.4</x:v>
      </x:c>
      <x:c r="L187" s="24" t="n">
        <x:v>7.18</x:v>
      </x:c>
      <x:c r="M187" s="24" t="n">
        <x:f>0.35*(100-D187)+0.10*(100-E187)+0.20*(100-I187)+0.15*J187+0.10*G187+0.10*K187+L187</x:f>
        <x:v>28.549999999999997</x:v>
      </x:c>
      <x:c r="N187" t="str">
        <x:f>IF(M187&lt;27,"Low",IF(M187&lt;50,"Medium","High"))</x:f>
        <x:v>Medium</x:v>
      </x:c>
    </x:row>
    <x:row r="188">
      <x:c r="A188" t="str">
        <x:v>ML185</x:v>
      </x:c>
      <x:c r="B188" s="26" t="n">
        <x:v>6</x:v>
      </x:c>
      <x:c r="C188" s="26" t="n">
        <x:v>7</x:v>
      </x:c>
      <x:c r="D188" s="24" t="n">
        <x:v>19.52</x:v>
      </x:c>
      <x:c r="E188" s="24" t="n">
        <x:v>17.15</x:v>
      </x:c>
      <x:c r="F188" s="24" t="n">
        <x:v>0.73</x:v>
      </x:c>
      <x:c r="G188" s="24" t="n">
        <x:v>11.72</x:v>
      </x:c>
      <x:c r="H188" s="24" t="n">
        <x:v>24.14</x:v>
      </x:c>
      <x:c r="I188" s="24" t="n">
        <x:v>10.57</x:v>
      </x:c>
      <x:c r="J188" s="24" t="n">
        <x:v>100</x:v>
      </x:c>
      <x:c r="K188" s="24" t="n">
        <x:v>8.66</x:v>
      </x:c>
      <x:c r="L188" s="24" t="n">
        <x:v>1.08</x:v>
      </x:c>
      <x:c r="M188" s="24" t="n">
        <x:f>0.35*(100-D188)+0.10*(100-E188)+0.20*(100-I188)+0.15*J188+0.10*G188+0.10*K188+L188</x:f>
        <x:v>72.457</x:v>
      </x:c>
      <x:c r="N188" t="str">
        <x:f>IF(M188&lt;27,"Low",IF(M188&lt;50,"Medium","High"))</x:f>
        <x:v>High</x:v>
      </x:c>
    </x:row>
    <x:row r="189">
      <x:c r="A189" t="str">
        <x:v>ML186</x:v>
      </x:c>
      <x:c r="B189" s="26" t="n">
        <x:v>7</x:v>
      </x:c>
      <x:c r="C189" s="26" t="n">
        <x:v>10</x:v>
      </x:c>
      <x:c r="D189" s="24" t="n">
        <x:v>50.7</x:v>
      </x:c>
      <x:c r="E189" s="24" t="n">
        <x:v>51.27</x:v>
      </x:c>
      <x:c r="F189" s="24" t="n">
        <x:v>41.32</x:v>
      </x:c>
      <x:c r="G189" s="24" t="n">
        <x:v>10.77</x:v>
      </x:c>
      <x:c r="H189" s="24" t="n">
        <x:v>41.71</x:v>
      </x:c>
      <x:c r="I189" s="24" t="n">
        <x:v>15.56</x:v>
      </x:c>
      <x:c r="J189" s="24" t="n">
        <x:v>80</x:v>
      </x:c>
      <x:c r="K189" s="24" t="n">
        <x:v>14.88</x:v>
      </x:c>
      <x:c r="L189" s="24" t="n">
        <x:v>-3.71</x:v>
      </x:c>
      <x:c r="M189" s="24" t="n">
        <x:f>0.35*(100-D189)+0.10*(100-E189)+0.20*(100-I189)+0.15*J189+0.10*G189+0.10*K189+L189</x:f>
        <x:v>49.871</x:v>
      </x:c>
      <x:c r="N189" t="str">
        <x:f>IF(M189&lt;27,"Low",IF(M189&lt;50,"Medium","High"))</x:f>
        <x:v>Medium</x:v>
      </x:c>
    </x:row>
    <x:row r="190">
      <x:c r="A190" t="str">
        <x:v>ML187</x:v>
      </x:c>
      <x:c r="B190" s="26" t="n">
        <x:v>7</x:v>
      </x:c>
      <x:c r="C190" s="26" t="n">
        <x:v>5</x:v>
      </x:c>
      <x:c r="D190" s="24" t="n">
        <x:v>75.25</x:v>
      </x:c>
      <x:c r="E190" s="24" t="n">
        <x:v>76.9</x:v>
      </x:c>
      <x:c r="F190" s="24" t="n">
        <x:v>62.22</x:v>
      </x:c>
      <x:c r="G190" s="24" t="n">
        <x:v>9.61</x:v>
      </x:c>
      <x:c r="H190" s="24" t="n">
        <x:v>57.9</x:v>
      </x:c>
      <x:c r="I190" s="24" t="n">
        <x:v>45.92</x:v>
      </x:c>
      <x:c r="J190" s="24" t="n">
        <x:v>20</x:v>
      </x:c>
      <x:c r="K190" s="24" t="n">
        <x:v>9.53</x:v>
      </x:c>
      <x:c r="L190" s="24" t="n">
        <x:v>0.25</x:v>
      </x:c>
      <x:c r="M190" s="24" t="n">
        <x:f>0.35*(100-D190)+0.10*(100-E190)+0.20*(100-I190)+0.15*J190+0.10*G190+0.10*K190+L190</x:f>
        <x:v>26.952499999999997</x:v>
      </x:c>
      <x:c r="N190" t="str">
        <x:f>IF(M190&lt;27,"Low",IF(M190&lt;50,"Medium","High"))</x:f>
        <x:v>Low</x:v>
      </x:c>
    </x:row>
    <x:row r="191">
      <x:c r="A191" t="str">
        <x:v>ML188</x:v>
      </x:c>
      <x:c r="B191" s="26" t="n">
        <x:v>6</x:v>
      </x:c>
      <x:c r="C191" s="26" t="n">
        <x:v>4</x:v>
      </x:c>
      <x:c r="D191" s="24" t="n">
        <x:v>80.68</x:v>
      </x:c>
      <x:c r="E191" s="24" t="n">
        <x:v>79.05</x:v>
      </x:c>
      <x:c r="F191" s="24" t="n">
        <x:v>48.51</x:v>
      </x:c>
      <x:c r="G191" s="24" t="n">
        <x:v>15.28</x:v>
      </x:c>
      <x:c r="H191" s="24" t="n">
        <x:v>68.25</x:v>
      </x:c>
      <x:c r="I191" s="24" t="n">
        <x:v>58.54</x:v>
      </x:c>
      <x:c r="J191" s="24" t="n">
        <x:v>0</x:v>
      </x:c>
      <x:c r="K191" s="24" t="n">
        <x:v>9.08</x:v>
      </x:c>
      <x:c r="L191" s="24" t="n">
        <x:v>-5.08</x:v>
      </x:c>
      <x:c r="M191" s="24" t="n">
        <x:f>0.35*(100-D191)+0.10*(100-E191)+0.20*(100-I191)+0.15*J191+0.10*G191+0.10*K191+L191</x:f>
        <x:v>14.504999999999997</x:v>
      </x:c>
      <x:c r="N191" t="str">
        <x:f>IF(M191&lt;27,"Low",IF(M191&lt;50,"Medium","High"))</x:f>
        <x:v>Low</x:v>
      </x:c>
    </x:row>
    <x:row r="192">
      <x:c r="A192" t="str">
        <x:v>ML189</x:v>
      </x:c>
      <x:c r="B192" s="26" t="n">
        <x:v>7</x:v>
      </x:c>
      <x:c r="C192" s="26" t="n">
        <x:v>10</x:v>
      </x:c>
      <x:c r="D192" s="24" t="n">
        <x:v>17.41</x:v>
      </x:c>
      <x:c r="E192" s="24" t="n">
        <x:v>17.62</x:v>
      </x:c>
      <x:c r="F192" s="24" t="n">
        <x:v>2.38</x:v>
      </x:c>
      <x:c r="G192" s="24" t="n">
        <x:v>10.24</x:v>
      </x:c>
      <x:c r="H192" s="24" t="n">
        <x:v>12.42</x:v>
      </x:c>
      <x:c r="I192" s="24" t="n">
        <x:v>0</x:v>
      </x:c>
      <x:c r="J192" s="24" t="n">
        <x:v>100</x:v>
      </x:c>
      <x:c r="K192" s="24" t="n">
        <x:v>8.59</x:v>
      </x:c>
      <x:c r="L192" s="24" t="n">
        <x:v>-1.01</x:v>
      </x:c>
      <x:c r="M192" s="24" t="n">
        <x:f>0.35*(100-D192)+0.10*(100-E192)+0.20*(100-I192)+0.15*J192+0.10*G192+0.10*K192+L192</x:f>
        <x:v>73.01749999999998</x:v>
      </x:c>
      <x:c r="N192" t="str">
        <x:f>IF(M192&lt;27,"Low",IF(M192&lt;50,"Medium","High"))</x:f>
        <x:v>High</x:v>
      </x:c>
    </x:row>
    <x:row r="193">
      <x:c r="A193" t="str">
        <x:v>ML190</x:v>
      </x:c>
      <x:c r="B193" s="26" t="n">
        <x:v>8</x:v>
      </x:c>
      <x:c r="C193" s="26" t="n">
        <x:v>10</x:v>
      </x:c>
      <x:c r="D193" s="24" t="n">
        <x:v>86.63</x:v>
      </x:c>
      <x:c r="E193" s="24" t="n">
        <x:v>88.1</x:v>
      </x:c>
      <x:c r="F193" s="24" t="n">
        <x:v>80.91</x:v>
      </x:c>
      <x:c r="G193" s="24" t="n">
        <x:v>5.36</x:v>
      </x:c>
      <x:c r="H193" s="24" t="n">
        <x:v>83.33</x:v>
      </x:c>
      <x:c r="I193" s="24" t="n">
        <x:v>67.26</x:v>
      </x:c>
      <x:c r="J193" s="24" t="n">
        <x:v>0</x:v>
      </x:c>
      <x:c r="K193" s="24" t="n">
        <x:v>8.65</x:v>
      </x:c>
      <x:c r="L193" s="24" t="n">
        <x:v>6.35</x:v>
      </x:c>
      <x:c r="M193" s="24" t="n">
        <x:f>0.35*(100-D193)+0.10*(100-E193)+0.20*(100-I193)+0.15*J193+0.10*G193+0.10*K193+L193</x:f>
        <x:v>20.1685</x:v>
      </x:c>
      <x:c r="N193" t="str">
        <x:f>IF(M193&lt;27,"Low",IF(M193&lt;50,"Medium","High"))</x:f>
        <x:v>Low</x:v>
      </x:c>
    </x:row>
    <x:row r="194">
      <x:c r="A194" t="str">
        <x:v>ML191</x:v>
      </x:c>
      <x:c r="B194" s="26" t="n">
        <x:v>6</x:v>
      </x:c>
      <x:c r="C194" s="26" t="n">
        <x:v>4</x:v>
      </x:c>
      <x:c r="D194" s="24" t="n">
        <x:v>50.6</x:v>
      </x:c>
      <x:c r="E194" s="24" t="n">
        <x:v>47.73</x:v>
      </x:c>
      <x:c r="F194" s="24" t="n">
        <x:v>33.48</x:v>
      </x:c>
      <x:c r="G194" s="24" t="n">
        <x:v>8.5</x:v>
      </x:c>
      <x:c r="H194" s="24" t="n">
        <x:v>36.42</x:v>
      </x:c>
      <x:c r="I194" s="24" t="n">
        <x:v>26.31</x:v>
      </x:c>
      <x:c r="J194" s="24" t="n">
        <x:v>100</x:v>
      </x:c>
      <x:c r="K194" s="24" t="n">
        <x:v>8.32</x:v>
      </x:c>
      <x:c r="L194" s="24" t="n">
        <x:v>10.86</x:v>
      </x:c>
      <x:c r="M194" s="24" t="n">
        <x:f>0.35*(100-D194)+0.10*(100-E194)+0.20*(100-I194)+0.15*J194+0.10*G194+0.10*K194+L194</x:f>
        <x:v>64.797</x:v>
      </x:c>
      <x:c r="N194" t="str">
        <x:f>IF(M194&lt;27,"Low",IF(M194&lt;50,"Medium","High"))</x:f>
        <x:v>High</x:v>
      </x:c>
    </x:row>
    <x:row r="195">
      <x:c r="A195" t="str">
        <x:v>ML192</x:v>
      </x:c>
      <x:c r="B195" s="26" t="n">
        <x:v>4</x:v>
      </x:c>
      <x:c r="C195" s="26" t="n">
        <x:v>8</x:v>
      </x:c>
      <x:c r="D195" s="24" t="n">
        <x:v>75.45</x:v>
      </x:c>
      <x:c r="E195" s="24" t="n">
        <x:v>77.02</x:v>
      </x:c>
      <x:c r="F195" s="24" t="n">
        <x:v>54.8</x:v>
      </x:c>
      <x:c r="G195" s="24" t="n">
        <x:v>13.17</x:v>
      </x:c>
      <x:c r="H195" s="24" t="n">
        <x:v>69.49</x:v>
      </x:c>
      <x:c r="I195" s="24" t="n">
        <x:v>47.19</x:v>
      </x:c>
      <x:c r="J195" s="24" t="n">
        <x:v>12.5</x:v>
      </x:c>
      <x:c r="K195" s="24" t="n">
        <x:v>12.63</x:v>
      </x:c>
      <x:c r="L195" s="24" t="n">
        <x:v>0.39</x:v>
      </x:c>
      <x:c r="M195" s="24" t="n">
        <x:f>0.35*(100-D195)+0.10*(100-E195)+0.20*(100-I195)+0.15*J195+0.10*G195+0.10*K195+L195</x:f>
        <x:v>26.297500000000003</x:v>
      </x:c>
      <x:c r="N195" t="str">
        <x:f>IF(M195&lt;27,"Low",IF(M195&lt;50,"Medium","High"))</x:f>
        <x:v>Low</x:v>
      </x:c>
    </x:row>
    <x:row r="196">
      <x:c r="A196" t="str">
        <x:v>ML193</x:v>
      </x:c>
      <x:c r="B196" s="26" t="n">
        <x:v>4</x:v>
      </x:c>
      <x:c r="C196" s="26" t="n">
        <x:v>8</x:v>
      </x:c>
      <x:c r="D196" s="24" t="n">
        <x:v>65.99</x:v>
      </x:c>
      <x:c r="E196" s="24" t="n">
        <x:v>68.61</x:v>
      </x:c>
      <x:c r="F196" s="24" t="n">
        <x:v>61.53</x:v>
      </x:c>
      <x:c r="G196" s="24" t="n">
        <x:v>7.49</x:v>
      </x:c>
      <x:c r="H196" s="24" t="n">
        <x:v>65.93</x:v>
      </x:c>
      <x:c r="I196" s="24" t="n">
        <x:v>44.96</x:v>
      </x:c>
      <x:c r="J196" s="24" t="n">
        <x:v>12.5</x:v>
      </x:c>
      <x:c r="K196" s="24" t="n">
        <x:v>13.77</x:v>
      </x:c>
      <x:c r="L196" s="24" t="n">
        <x:v>3.42</x:v>
      </x:c>
      <x:c r="M196" s="24" t="n">
        <x:f>0.35*(100-D196)+0.10*(100-E196)+0.20*(100-I196)+0.15*J196+0.10*G196+0.10*K196+L196</x:f>
        <x:v>33.4715</x:v>
      </x:c>
      <x:c r="N196" t="str">
        <x:f>IF(M196&lt;27,"Low",IF(M196&lt;50,"Medium","High"))</x:f>
        <x:v>Medium</x:v>
      </x:c>
    </x:row>
    <x:row r="197">
      <x:c r="A197" t="str">
        <x:v>ML194</x:v>
      </x:c>
      <x:c r="B197" s="26" t="n">
        <x:v>8</x:v>
      </x:c>
      <x:c r="C197" s="26" t="n">
        <x:v>4</x:v>
      </x:c>
      <x:c r="D197" s="24" t="n">
        <x:v>58.36</x:v>
      </x:c>
      <x:c r="E197" s="24" t="n">
        <x:v>55.81</x:v>
      </x:c>
      <x:c r="F197" s="24" t="n">
        <x:v>45.66</x:v>
      </x:c>
      <x:c r="G197" s="24" t="n">
        <x:v>10.58</x:v>
      </x:c>
      <x:c r="H197" s="24" t="n">
        <x:v>43.97</x:v>
      </x:c>
      <x:c r="I197" s="24" t="n">
        <x:v>40.69</x:v>
      </x:c>
      <x:c r="J197" s="24" t="n">
        <x:v>75</x:v>
      </x:c>
      <x:c r="K197" s="24" t="n">
        <x:v>4.62</x:v>
      </x:c>
      <x:c r="L197" s="24" t="n">
        <x:v>1.24</x:v>
      </x:c>
      <x:c r="M197" s="24" t="n">
        <x:f>0.35*(100-D197)+0.10*(100-E197)+0.20*(100-I197)+0.15*J197+0.10*G197+0.10*K197+L197</x:f>
        <x:v>44.86500000000001</x:v>
      </x:c>
      <x:c r="N197" t="str">
        <x:f>IF(M197&lt;27,"Low",IF(M197&lt;50,"Medium","High"))</x:f>
        <x:v>Medium</x:v>
      </x:c>
    </x:row>
    <x:row r="198">
      <x:c r="A198" t="str">
        <x:v>ML195</x:v>
      </x:c>
      <x:c r="B198" s="26" t="n">
        <x:v>9</x:v>
      </x:c>
      <x:c r="C198" s="26" t="n">
        <x:v>4</x:v>
      </x:c>
      <x:c r="D198" s="24" t="n">
        <x:v>86.39</x:v>
      </x:c>
      <x:c r="E198" s="24" t="n">
        <x:v>85.92</x:v>
      </x:c>
      <x:c r="F198" s="24" t="n">
        <x:v>77.01</x:v>
      </x:c>
      <x:c r="G198" s="24" t="n">
        <x:v>6.39</x:v>
      </x:c>
      <x:c r="H198" s="24" t="n">
        <x:v>84.93</x:v>
      </x:c>
      <x:c r="I198" s="24" t="n">
        <x:v>73.52</x:v>
      </x:c>
      <x:c r="J198" s="24" t="n">
        <x:v>0</x:v>
      </x:c>
      <x:c r="K198" s="24" t="n">
        <x:v>9.4</x:v>
      </x:c>
      <x:c r="L198" s="24" t="n">
        <x:v>-6.21</x:v>
      </x:c>
      <x:c r="M198" s="24" t="n">
        <x:f>0.35*(100-D198)+0.10*(100-E198)+0.20*(100-I198)+0.15*J198+0.10*G198+0.10*K198+L198</x:f>
        <x:v>6.8365</x:v>
      </x:c>
      <x:c r="N198" t="str">
        <x:f>IF(M198&lt;27,"Low",IF(M198&lt;50,"Medium","High"))</x:f>
        <x:v>Low</x:v>
      </x:c>
    </x:row>
    <x:row r="199">
      <x:c r="A199" t="str">
        <x:v>ML196</x:v>
      </x:c>
      <x:c r="B199" s="26" t="n">
        <x:v>4</x:v>
      </x:c>
      <x:c r="C199" s="26" t="n">
        <x:v>10</x:v>
      </x:c>
      <x:c r="D199" s="24" t="n">
        <x:v>96.77</x:v>
      </x:c>
      <x:c r="E199" s="24" t="n">
        <x:v>95.44</x:v>
      </x:c>
      <x:c r="F199" s="24" t="n">
        <x:v>89.85</x:v>
      </x:c>
      <x:c r="G199" s="24" t="n">
        <x:v>3.78</x:v>
      </x:c>
      <x:c r="H199" s="24" t="n">
        <x:v>92.38</x:v>
      </x:c>
      <x:c r="I199" s="24" t="n">
        <x:v>79.42</x:v>
      </x:c>
      <x:c r="J199" s="24" t="n">
        <x:v>0</x:v>
      </x:c>
      <x:c r="K199" s="24" t="n">
        <x:v>7.31</x:v>
      </x:c>
      <x:c r="L199" s="24" t="n">
        <x:v>-3.35</x:v>
      </x:c>
      <x:c r="M199" s="24" t="n">
        <x:f>0.35*(100-D199)+0.10*(100-E199)+0.20*(100-I199)+0.15*J199+0.10*G199+0.10*K199+L199</x:f>
        <x:v>3.4615000000000014</x:v>
      </x:c>
      <x:c r="N199" t="str">
        <x:f>IF(M199&lt;27,"Low",IF(M199&lt;50,"Medium","High"))</x:f>
        <x:v>Low</x:v>
      </x:c>
    </x:row>
    <x:row r="200">
      <x:c r="A200" t="str">
        <x:v>ML197</x:v>
      </x:c>
      <x:c r="B200" s="26" t="n">
        <x:v>8</x:v>
      </x:c>
      <x:c r="C200" s="26" t="n">
        <x:v>7</x:v>
      </x:c>
      <x:c r="D200" s="24" t="n">
        <x:v>70.25</x:v>
      </x:c>
      <x:c r="E200" s="24" t="n">
        <x:v>66.81</x:v>
      </x:c>
      <x:c r="F200" s="24" t="n">
        <x:v>55.82</x:v>
      </x:c>
      <x:c r="G200" s="24" t="n">
        <x:v>8.24</x:v>
      </x:c>
      <x:c r="H200" s="24" t="n">
        <x:v>62.44</x:v>
      </x:c>
      <x:c r="I200" s="24" t="n">
        <x:v>41.39</x:v>
      </x:c>
      <x:c r="J200" s="24" t="n">
        <x:v>28.57</x:v>
      </x:c>
      <x:c r="K200" s="24" t="n">
        <x:v>14.48</x:v>
      </x:c>
      <x:c r="L200" s="24" t="n">
        <x:v>-0.92</x:v>
      </x:c>
      <x:c r="M200" s="24" t="n">
        <x:f>0.35*(100-D200)+0.10*(100-E200)+0.20*(100-I200)+0.15*J200+0.10*G200+0.10*K200+L200</x:f>
        <x:v>31.091</x:v>
      </x:c>
      <x:c r="N200" t="str">
        <x:f>IF(M200&lt;27,"Low",IF(M200&lt;50,"Medium","High"))</x:f>
        <x:v>Medium</x:v>
      </x:c>
    </x:row>
    <x:row r="201">
      <x:c r="A201" t="str">
        <x:v>ML198</x:v>
      </x:c>
      <x:c r="B201" s="26" t="n">
        <x:v>6</x:v>
      </x:c>
      <x:c r="C201" s="26" t="n">
        <x:v>4</x:v>
      </x:c>
      <x:c r="D201" s="24" t="n">
        <x:v>54.49</x:v>
      </x:c>
      <x:c r="E201" s="24" t="n">
        <x:v>52.28</x:v>
      </x:c>
      <x:c r="F201" s="24" t="n">
        <x:v>45.18</x:v>
      </x:c>
      <x:c r="G201" s="24" t="n">
        <x:v>4.91</x:v>
      </x:c>
      <x:c r="H201" s="24" t="n">
        <x:v>51.23</x:v>
      </x:c>
      <x:c r="I201" s="24" t="n">
        <x:v>46.47</x:v>
      </x:c>
      <x:c r="J201" s="24" t="n">
        <x:v>50</x:v>
      </x:c>
      <x:c r="K201" s="24" t="n">
        <x:v>4.2</x:v>
      </x:c>
      <x:c r="L201" s="24" t="n">
        <x:v>-1.13</x:v>
      </x:c>
      <x:c r="M201" s="24" t="n">
        <x:f>0.35*(100-D201)+0.10*(100-E201)+0.20*(100-I201)+0.15*J201+0.10*G201+0.10*K201+L201</x:f>
        <x:v>38.6875</x:v>
      </x:c>
      <x:c r="N201" t="str">
        <x:f>IF(M201&lt;27,"Low",IF(M201&lt;50,"Medium","High"))</x:f>
        <x:v>Medium</x:v>
      </x:c>
    </x:row>
    <x:row r="202">
      <x:c r="A202" t="str">
        <x:v>ML199</x:v>
      </x:c>
      <x:c r="B202" s="26" t="n">
        <x:v>6</x:v>
      </x:c>
      <x:c r="C202" s="26" t="n">
        <x:v>5</x:v>
      </x:c>
      <x:c r="D202" s="24" t="n">
        <x:v>76.53</x:v>
      </x:c>
      <x:c r="E202" s="24" t="n">
        <x:v>80.22</x:v>
      </x:c>
      <x:c r="F202" s="24" t="n">
        <x:v>74.67</x:v>
      </x:c>
      <x:c r="G202" s="24" t="n">
        <x:v>4.07</x:v>
      </x:c>
      <x:c r="H202" s="24" t="n">
        <x:v>74.37</x:v>
      </x:c>
      <x:c r="I202" s="24" t="n">
        <x:v>50.58</x:v>
      </x:c>
      <x:c r="J202" s="24" t="n">
        <x:v>0</x:v>
      </x:c>
      <x:c r="K202" s="24" t="n">
        <x:v>14.27</x:v>
      </x:c>
      <x:c r="L202" s="24" t="n">
        <x:v>-1.91</x:v>
      </x:c>
      <x:c r="M202" s="24" t="n">
        <x:f>0.35*(100-D202)+0.10*(100-E202)+0.20*(100-I202)+0.15*J202+0.10*G202+0.10*K202+L202</x:f>
        <x:v>20.0005</x:v>
      </x:c>
      <x:c r="N202" t="str">
        <x:f>IF(M202&lt;27,"Low",IF(M202&lt;50,"Medium","High"))</x:f>
        <x:v>Low</x:v>
      </x:c>
    </x:row>
    <x:row r="203">
      <x:c r="A203" t="str">
        <x:v>ML200</x:v>
      </x:c>
      <x:c r="B203" s="26" t="n">
        <x:v>8</x:v>
      </x:c>
      <x:c r="C203" s="26" t="n">
        <x:v>6</x:v>
      </x:c>
      <x:c r="D203" s="24" t="n">
        <x:v>84.22</x:v>
      </x:c>
      <x:c r="E203" s="24" t="n">
        <x:v>85.68</x:v>
      </x:c>
      <x:c r="F203" s="24" t="n">
        <x:v>77.7</x:v>
      </x:c>
      <x:c r="G203" s="24" t="n">
        <x:v>7.31</x:v>
      </x:c>
      <x:c r="H203" s="24" t="n">
        <x:v>75.48</x:v>
      </x:c>
      <x:c r="I203" s="24" t="n">
        <x:v>59.09</x:v>
      </x:c>
      <x:c r="J203" s="24" t="n">
        <x:v>0</x:v>
      </x:c>
      <x:c r="K203" s="24" t="n">
        <x:v>8.69</x:v>
      </x:c>
      <x:c r="L203" s="24" t="n">
        <x:v>0.38</x:v>
      </x:c>
      <x:c r="M203" s="24" t="n">
        <x:f>0.35*(100-D203)+0.10*(100-E203)+0.20*(100-I203)+0.15*J203+0.10*G203+0.10*K203+L203</x:f>
        <x:v>17.117</x:v>
      </x:c>
      <x:c r="N203" t="str">
        <x:f>IF(M203&lt;27,"Low",IF(M203&lt;50,"Medium","High"))</x:f>
        <x:v>Low</x:v>
      </x:c>
    </x:row>
    <x:row r="204">
      <x:c r="A204" t="str">
        <x:v>ML201</x:v>
      </x:c>
      <x:c r="B204" s="26" t="n">
        <x:v>4</x:v>
      </x:c>
      <x:c r="C204" s="26" t="n">
        <x:v>6</x:v>
      </x:c>
      <x:c r="D204" s="24" t="n">
        <x:v>47.67</x:v>
      </x:c>
      <x:c r="E204" s="24" t="n">
        <x:v>46.23</x:v>
      </x:c>
      <x:c r="F204" s="24" t="n">
        <x:v>41.45</x:v>
      </x:c>
      <x:c r="G204" s="24" t="n">
        <x:v>5.09</x:v>
      </x:c>
      <x:c r="H204" s="24" t="n">
        <x:v>42.31</x:v>
      </x:c>
      <x:c r="I204" s="24" t="n">
        <x:v>27.76</x:v>
      </x:c>
      <x:c r="J204" s="24" t="n">
        <x:v>66.67</x:v>
      </x:c>
      <x:c r="K204" s="24" t="n">
        <x:v>9.74</x:v>
      </x:c>
      <x:c r="L204" s="24" t="n">
        <x:v>4.45</x:v>
      </x:c>
      <x:c r="M204" s="24" t="n">
        <x:f>0.35*(100-D204)+0.10*(100-E204)+0.20*(100-I204)+0.15*J204+0.10*G204+0.10*K204+L204</x:f>
        <x:v>54.074</x:v>
      </x:c>
      <x:c r="N204" t="str">
        <x:f>IF(M204&lt;27,"Low",IF(M204&lt;50,"Medium","High"))</x:f>
        <x:v>High</x:v>
      </x:c>
    </x:row>
    <x:row r="205">
      <x:c r="A205" t="str">
        <x:v>ML202</x:v>
      </x:c>
      <x:c r="B205" s="26" t="n">
        <x:v>6</x:v>
      </x:c>
      <x:c r="C205" s="26" t="n">
        <x:v>7</x:v>
      </x:c>
      <x:c r="D205" s="24" t="n">
        <x:v>58.05</x:v>
      </x:c>
      <x:c r="E205" s="24" t="n">
        <x:v>57.6</x:v>
      </x:c>
      <x:c r="F205" s="24" t="n">
        <x:v>40.54</x:v>
      </x:c>
      <x:c r="G205" s="24" t="n">
        <x:v>12.73</x:v>
      </x:c>
      <x:c r="H205" s="24" t="n">
        <x:v>50.13</x:v>
      </x:c>
      <x:c r="I205" s="24" t="n">
        <x:v>37.63</x:v>
      </x:c>
      <x:c r="J205" s="24" t="n">
        <x:v>57.14</x:v>
      </x:c>
      <x:c r="K205" s="24" t="n">
        <x:v>6.57</x:v>
      </x:c>
      <x:c r="L205" s="24" t="n">
        <x:v>-2.3</x:v>
      </x:c>
      <x:c r="M205" s="24" t="n">
        <x:f>0.35*(100-D205)+0.10*(100-E205)+0.20*(100-I205)+0.15*J205+0.10*G205+0.10*K205+L205</x:f>
        <x:v>39.59750000000001</x:v>
      </x:c>
      <x:c r="N205" t="str">
        <x:f>IF(M205&lt;27,"Low",IF(M205&lt;50,"Medium","High"))</x:f>
        <x:v>Medium</x:v>
      </x:c>
    </x:row>
    <x:row r="206">
      <x:c r="A206" t="str">
        <x:v>ML203</x:v>
      </x:c>
      <x:c r="B206" s="26" t="n">
        <x:v>4</x:v>
      </x:c>
      <x:c r="C206" s="26" t="n">
        <x:v>4</x:v>
      </x:c>
      <x:c r="D206" s="24" t="n">
        <x:v>59.35</x:v>
      </x:c>
      <x:c r="E206" s="24" t="n">
        <x:v>56.47</x:v>
      </x:c>
      <x:c r="F206" s="24" t="n">
        <x:v>54.44</x:v>
      </x:c>
      <x:c r="G206" s="24" t="n">
        <x:v>1.37</x:v>
      </x:c>
      <x:c r="H206" s="24" t="n">
        <x:v>58.7</x:v>
      </x:c>
      <x:c r="I206" s="24" t="n">
        <x:v>45.75</x:v>
      </x:c>
      <x:c r="J206" s="24" t="n">
        <x:v>25</x:v>
      </x:c>
      <x:c r="K206" s="24" t="n">
        <x:v>8.07</x:v>
      </x:c>
      <x:c r="L206" s="24" t="n">
        <x:v>-4.02</x:v>
      </x:c>
      <x:c r="M206" s="24" t="n">
        <x:f>0.35*(100-D206)+0.10*(100-E206)+0.20*(100-I206)+0.15*J206+0.10*G206+0.10*K206+L206</x:f>
        <x:v>30.104500000000005</x:v>
      </x:c>
      <x:c r="N206" t="str">
        <x:f>IF(M206&lt;27,"Low",IF(M206&lt;50,"Medium","High"))</x:f>
        <x:v>Medium</x:v>
      </x:c>
    </x:row>
    <x:row r="207">
      <x:c r="A207" t="str">
        <x:v>ML204</x:v>
      </x:c>
      <x:c r="B207" s="26" t="n">
        <x:v>4</x:v>
      </x:c>
      <x:c r="C207" s="26" t="n">
        <x:v>6</x:v>
      </x:c>
      <x:c r="D207" s="24" t="n">
        <x:v>76.17</x:v>
      </x:c>
      <x:c r="E207" s="24" t="n">
        <x:v>73.06</x:v>
      </x:c>
      <x:c r="F207" s="24" t="n">
        <x:v>65.87</x:v>
      </x:c>
      <x:c r="G207" s="24" t="n">
        <x:v>6.72</x:v>
      </x:c>
      <x:c r="H207" s="24" t="n">
        <x:v>70.9</x:v>
      </x:c>
      <x:c r="I207" s="24" t="n">
        <x:v>64.59</x:v>
      </x:c>
      <x:c r="J207" s="24" t="n">
        <x:v>0</x:v>
      </x:c>
      <x:c r="K207" s="24" t="n">
        <x:v>4.34</x:v>
      </x:c>
      <x:c r="L207" s="24" t="n">
        <x:v>-2.14</x:v>
      </x:c>
      <x:c r="M207" s="24" t="n">
        <x:f>0.35*(100-D207)+0.10*(100-E207)+0.20*(100-I207)+0.15*J207+0.10*G207+0.10*K207+L207</x:f>
        <x:v>17.0825</x:v>
      </x:c>
      <x:c r="N207" t="str">
        <x:f>IF(M207&lt;27,"Low",IF(M207&lt;50,"Medium","High"))</x:f>
        <x:v>Low</x:v>
      </x:c>
    </x:row>
    <x:row r="208">
      <x:c r="A208" t="str">
        <x:v>ML205</x:v>
      </x:c>
      <x:c r="B208" s="26" t="n">
        <x:v>4</x:v>
      </x:c>
      <x:c r="C208" s="26" t="n">
        <x:v>10</x:v>
      </x:c>
      <x:c r="D208" s="24" t="n">
        <x:v>76.83</x:v>
      </x:c>
      <x:c r="E208" s="24" t="n">
        <x:v>78.14</x:v>
      </x:c>
      <x:c r="F208" s="24" t="n">
        <x:v>68.2</x:v>
      </x:c>
      <x:c r="G208" s="24" t="n">
        <x:v>7.04</x:v>
      </x:c>
      <x:c r="H208" s="24" t="n">
        <x:v>66.38</x:v>
      </x:c>
      <x:c r="I208" s="24" t="n">
        <x:v>37.5</x:v>
      </x:c>
      <x:c r="J208" s="24" t="n">
        <x:v>10</x:v>
      </x:c>
      <x:c r="K208" s="24" t="n">
        <x:v>12.85</x:v>
      </x:c>
      <x:c r="L208" s="24" t="n">
        <x:v>-0.49</x:v>
      </x:c>
      <x:c r="M208" s="24" t="n">
        <x:f>0.35*(100-D208)+0.10*(100-E208)+0.20*(100-I208)+0.15*J208+0.10*G208+0.10*K208+L208</x:f>
        <x:v>25.794500000000003</x:v>
      </x:c>
      <x:c r="N208" t="str">
        <x:f>IF(M208&lt;27,"Low",IF(M208&lt;50,"Medium","High"))</x:f>
        <x:v>Low</x:v>
      </x:c>
    </x:row>
    <x:row r="209">
      <x:c r="A209" t="str">
        <x:v>ML206</x:v>
      </x:c>
      <x:c r="B209" s="26" t="n">
        <x:v>5</x:v>
      </x:c>
      <x:c r="C209" s="26" t="n">
        <x:v>9</x:v>
      </x:c>
      <x:c r="D209" s="24" t="n">
        <x:v>88.76</x:v>
      </x:c>
      <x:c r="E209" s="24" t="n">
        <x:v>89.19</x:v>
      </x:c>
      <x:c r="F209" s="24" t="n">
        <x:v>80.49</x:v>
      </x:c>
      <x:c r="G209" s="24" t="n">
        <x:v>6.46</x:v>
      </x:c>
      <x:c r="H209" s="24" t="n">
        <x:v>81.14</x:v>
      </x:c>
      <x:c r="I209" s="24" t="n">
        <x:v>72.7</x:v>
      </x:c>
      <x:c r="J209" s="24" t="n">
        <x:v>0</x:v>
      </x:c>
      <x:c r="K209" s="24" t="n">
        <x:v>3.88</x:v>
      </x:c>
      <x:c r="L209" s="24" t="n">
        <x:v>0.07</x:v>
      </x:c>
      <x:c r="M209" s="24" t="n">
        <x:f>0.35*(100-D209)+0.10*(100-E209)+0.20*(100-I209)+0.15*J209+0.10*G209+0.10*K209+L209</x:f>
        <x:v>11.578999999999999</x:v>
      </x:c>
      <x:c r="N209" t="str">
        <x:f>IF(M209&lt;27,"Low",IF(M209&lt;50,"Medium","High"))</x:f>
        <x:v>Low</x:v>
      </x:c>
    </x:row>
    <x:row r="210">
      <x:c r="A210" t="str">
        <x:v>ML207</x:v>
      </x:c>
      <x:c r="B210" s="26" t="n">
        <x:v>6</x:v>
      </x:c>
      <x:c r="C210" s="26" t="n">
        <x:v>5</x:v>
      </x:c>
      <x:c r="D210" s="24" t="n">
        <x:v>87.33</x:v>
      </x:c>
      <x:c r="E210" s="24" t="n">
        <x:v>85.1</x:v>
      </x:c>
      <x:c r="F210" s="24" t="n">
        <x:v>75.7</x:v>
      </x:c>
      <x:c r="G210" s="24" t="n">
        <x:v>7.51</x:v>
      </x:c>
      <x:c r="H210" s="24" t="n">
        <x:v>89.68</x:v>
      </x:c>
      <x:c r="I210" s="24" t="n">
        <x:v>72.34</x:v>
      </x:c>
      <x:c r="J210" s="24" t="n">
        <x:v>0</x:v>
      </x:c>
      <x:c r="K210" s="24" t="n">
        <x:v>10.21</x:v>
      </x:c>
      <x:c r="L210" s="24" t="n">
        <x:v>-3.19</x:v>
      </x:c>
      <x:c r="M210" s="24" t="n">
        <x:f>0.35*(100-D210)+0.10*(100-E210)+0.20*(100-I210)+0.15*J210+0.10*G210+0.10*K210+L210</x:f>
        <x:v>10.0385</x:v>
      </x:c>
      <x:c r="N210" t="str">
        <x:f>IF(M210&lt;27,"Low",IF(M210&lt;50,"Medium","High"))</x:f>
        <x:v>Low</x:v>
      </x:c>
    </x:row>
    <x:row r="211">
      <x:c r="A211" t="str">
        <x:v>ML208</x:v>
      </x:c>
      <x:c r="B211" s="26" t="n">
        <x:v>9</x:v>
      </x:c>
      <x:c r="C211" s="26" t="n">
        <x:v>10</x:v>
      </x:c>
      <x:c r="D211" s="24" t="n">
        <x:v>60.63</x:v>
      </x:c>
      <x:c r="E211" s="24" t="n">
        <x:v>59.88</x:v>
      </x:c>
      <x:c r="F211" s="24" t="n">
        <x:v>42.06</x:v>
      </x:c>
      <x:c r="G211" s="24" t="n">
        <x:v>11.97</x:v>
      </x:c>
      <x:c r="H211" s="24" t="n">
        <x:v>50.21</x:v>
      </x:c>
      <x:c r="I211" s="24" t="n">
        <x:v>23.33</x:v>
      </x:c>
      <x:c r="J211" s="24" t="n">
        <x:v>60</x:v>
      </x:c>
      <x:c r="K211" s="24" t="n">
        <x:v>14.88</x:v>
      </x:c>
      <x:c r="L211" s="24" t="n">
        <x:v>-1.72</x:v>
      </x:c>
      <x:c r="M211" s="24" t="n">
        <x:f>0.35*(100-D211)+0.10*(100-E211)+0.20*(100-I211)+0.15*J211+0.10*G211+0.10*K211+L211</x:f>
        <x:v>43.090500000000006</x:v>
      </x:c>
      <x:c r="N211" t="str">
        <x:f>IF(M211&lt;27,"Low",IF(M211&lt;50,"Medium","High"))</x:f>
        <x:v>Medium</x:v>
      </x:c>
    </x:row>
    <x:row r="212">
      <x:c r="A212" t="str">
        <x:v>ML209</x:v>
      </x:c>
      <x:c r="B212" s="26" t="n">
        <x:v>7</x:v>
      </x:c>
      <x:c r="C212" s="26" t="n">
        <x:v>10</x:v>
      </x:c>
      <x:c r="D212" s="24" t="n">
        <x:v>80.1</x:v>
      </x:c>
      <x:c r="E212" s="24" t="n">
        <x:v>75.95</x:v>
      </x:c>
      <x:c r="F212" s="24" t="n">
        <x:v>65.06</x:v>
      </x:c>
      <x:c r="G212" s="24" t="n">
        <x:v>9.88</x:v>
      </x:c>
      <x:c r="H212" s="24" t="n">
        <x:v>71.35</x:v>
      </x:c>
      <x:c r="I212" s="24" t="n">
        <x:v>53.39</x:v>
      </x:c>
      <x:c r="J212" s="24" t="n">
        <x:v>0</x:v>
      </x:c>
      <x:c r="K212" s="24" t="n">
        <x:v>10.81</x:v>
      </x:c>
      <x:c r="L212" s="24" t="n">
        <x:v>3.53</x:v>
      </x:c>
      <x:c r="M212" s="24" t="n">
        <x:f>0.35*(100-D212)+0.10*(100-E212)+0.20*(100-I212)+0.15*J212+0.10*G212+0.10*K212+L212</x:f>
        <x:v>24.291</x:v>
      </x:c>
      <x:c r="N212" t="str">
        <x:f>IF(M212&lt;27,"Low",IF(M212&lt;50,"Medium","High"))</x:f>
        <x:v>Low</x:v>
      </x:c>
    </x:row>
    <x:row r="213">
      <x:c r="A213" t="str">
        <x:v>ML210</x:v>
      </x:c>
      <x:c r="B213" s="26" t="n">
        <x:v>5</x:v>
      </x:c>
      <x:c r="C213" s="26" t="n">
        <x:v>9</x:v>
      </x:c>
      <x:c r="D213" s="24" t="n">
        <x:v>72.39</x:v>
      </x:c>
      <x:c r="E213" s="24" t="n">
        <x:v>68.02</x:v>
      </x:c>
      <x:c r="F213" s="24" t="n">
        <x:v>54.58</x:v>
      </x:c>
      <x:c r="G213" s="24" t="n">
        <x:v>9.56</x:v>
      </x:c>
      <x:c r="H213" s="24" t="n">
        <x:v>62.63</x:v>
      </x:c>
      <x:c r="I213" s="24" t="n">
        <x:v>40.21</x:v>
      </x:c>
      <x:c r="J213" s="24" t="n">
        <x:v>11.11</x:v>
      </x:c>
      <x:c r="K213" s="24" t="n">
        <x:v>8.94</x:v>
      </x:c>
      <x:c r="L213" s="24" t="n">
        <x:v>-1.24</x:v>
      </x:c>
      <x:c r="M213" s="24" t="n">
        <x:f>0.35*(100-D213)+0.10*(100-E213)+0.20*(100-I213)+0.15*J213+0.10*G213+0.10*K213+L213</x:f>
        <x:v>27.095999999999997</x:v>
      </x:c>
      <x:c r="N213" t="str">
        <x:f>IF(M213&lt;27,"Low",IF(M213&lt;50,"Medium","High"))</x:f>
        <x:v>Medium</x:v>
      </x:c>
    </x:row>
    <x:row r="214">
      <x:c r="A214" t="str">
        <x:v>ML211</x:v>
      </x:c>
      <x:c r="B214" s="26" t="n">
        <x:v>9</x:v>
      </x:c>
      <x:c r="C214" s="26" t="n">
        <x:v>7</x:v>
      </x:c>
      <x:c r="D214" s="24" t="n">
        <x:v>62.68</x:v>
      </x:c>
      <x:c r="E214" s="24" t="n">
        <x:v>62.63</x:v>
      </x:c>
      <x:c r="F214" s="24" t="n">
        <x:v>51.83</x:v>
      </x:c>
      <x:c r="G214" s="24" t="n">
        <x:v>7.24</x:v>
      </x:c>
      <x:c r="H214" s="24" t="n">
        <x:v>59.05</x:v>
      </x:c>
      <x:c r="I214" s="24" t="n">
        <x:v>41.24</x:v>
      </x:c>
      <x:c r="J214" s="24" t="n">
        <x:v>28.57</x:v>
      </x:c>
      <x:c r="K214" s="24" t="n">
        <x:v>13.84</x:v>
      </x:c>
      <x:c r="L214" s="24" t="n">
        <x:v>6.72</x:v>
      </x:c>
      <x:c r="M214" s="24" t="n">
        <x:f>0.35*(100-D214)+0.10*(100-E214)+0.20*(100-I214)+0.15*J214+0.10*G214+0.10*K214+L214</x:f>
        <x:v>41.6645</x:v>
      </x:c>
      <x:c r="N214" t="str">
        <x:f>IF(M214&lt;27,"Low",IF(M214&lt;50,"Medium","High"))</x:f>
        <x:v>Medium</x:v>
      </x:c>
    </x:row>
    <x:row r="215">
      <x:c r="A215" t="str">
        <x:v>ML212</x:v>
      </x:c>
      <x:c r="B215" s="26" t="n">
        <x:v>8</x:v>
      </x:c>
      <x:c r="C215" s="26" t="n">
        <x:v>7</x:v>
      </x:c>
      <x:c r="D215" s="24" t="n">
        <x:v>70.54</x:v>
      </x:c>
      <x:c r="E215" s="24" t="n">
        <x:v>73.21</x:v>
      </x:c>
      <x:c r="F215" s="24" t="n">
        <x:v>54.91</x:v>
      </x:c>
      <x:c r="G215" s="24" t="n">
        <x:v>9.92</x:v>
      </x:c>
      <x:c r="H215" s="24" t="n">
        <x:v>69.85</x:v>
      </x:c>
      <x:c r="I215" s="24" t="n">
        <x:v>52.41</x:v>
      </x:c>
      <x:c r="J215" s="24" t="n">
        <x:v>0</x:v>
      </x:c>
      <x:c r="K215" s="24" t="n">
        <x:v>10</x:v>
      </x:c>
      <x:c r="L215" s="24" t="n">
        <x:v>-8.95</x:v>
      </x:c>
      <x:c r="M215" s="24" t="n">
        <x:f>0.35*(100-D215)+0.10*(100-E215)+0.20*(100-I215)+0.15*J215+0.10*G215+0.10*K215+L215</x:f>
        <x:v>15.549999999999997</x:v>
      </x:c>
      <x:c r="N215" t="str">
        <x:f>IF(M215&lt;27,"Low",IF(M215&lt;50,"Medium","High"))</x:f>
        <x:v>Low</x:v>
      </x:c>
    </x:row>
    <x:row r="216">
      <x:c r="A216" t="str">
        <x:v>ML213</x:v>
      </x:c>
      <x:c r="B216" s="26" t="n">
        <x:v>4</x:v>
      </x:c>
      <x:c r="C216" s="26" t="n">
        <x:v>4</x:v>
      </x:c>
      <x:c r="D216" s="24" t="n">
        <x:v>64.48</x:v>
      </x:c>
      <x:c r="E216" s="24" t="n">
        <x:v>61.39</x:v>
      </x:c>
      <x:c r="F216" s="24" t="n">
        <x:v>51.07</x:v>
      </x:c>
      <x:c r="G216" s="24" t="n">
        <x:v>7.15</x:v>
      </x:c>
      <x:c r="H216" s="24" t="n">
        <x:v>63.12</x:v>
      </x:c>
      <x:c r="I216" s="24" t="n">
        <x:v>57.54</x:v>
      </x:c>
      <x:c r="J216" s="24" t="n">
        <x:v>0</x:v>
      </x:c>
      <x:c r="K216" s="24" t="n">
        <x:v>4.97</x:v>
      </x:c>
      <x:c r="L216" s="24" t="n">
        <x:v>-1.05</x:v>
      </x:c>
      <x:c r="M216" s="24" t="n">
        <x:f>0.35*(100-D216)+0.10*(100-E216)+0.20*(100-I216)+0.15*J216+0.10*G216+0.10*K216+L216</x:f>
        <x:v>24.947</x:v>
      </x:c>
      <x:c r="N216" t="str">
        <x:f>IF(M216&lt;27,"Low",IF(M216&lt;50,"Medium","High"))</x:f>
        <x:v>Low</x:v>
      </x:c>
    </x:row>
    <x:row r="217">
      <x:c r="A217" t="str">
        <x:v>ML214</x:v>
      </x:c>
      <x:c r="B217" s="26" t="n">
        <x:v>9</x:v>
      </x:c>
      <x:c r="C217" s="26" t="n">
        <x:v>7</x:v>
      </x:c>
      <x:c r="D217" s="24" t="n">
        <x:v>39.46</x:v>
      </x:c>
      <x:c r="E217" s="24" t="n">
        <x:v>39.11</x:v>
      </x:c>
      <x:c r="F217" s="24" t="n">
        <x:v>19.38</x:v>
      </x:c>
      <x:c r="G217" s="24" t="n">
        <x:v>13.16</x:v>
      </x:c>
      <x:c r="H217" s="24" t="n">
        <x:v>37.41</x:v>
      </x:c>
      <x:c r="I217" s="24" t="n">
        <x:v>21.08</x:v>
      </x:c>
      <x:c r="J217" s="24" t="n">
        <x:v>85.71</x:v>
      </x:c>
      <x:c r="K217" s="24" t="n">
        <x:v>9.17</x:v>
      </x:c>
      <x:c r="L217" s="24" t="n">
        <x:v>0</x:v>
      </x:c>
      <x:c r="M217" s="24" t="n">
        <x:f>0.35*(100-D217)+0.10*(100-E217)+0.20*(100-I217)+0.15*J217+0.10*G217+0.10*K217+L217</x:f>
        <x:v>58.1515</x:v>
      </x:c>
      <x:c r="N217" t="str">
        <x:f>IF(M217&lt;27,"Low",IF(M217&lt;50,"Medium","High"))</x:f>
        <x:v>High</x:v>
      </x:c>
    </x:row>
    <x:row r="218">
      <x:c r="A218" t="str">
        <x:v>ML215</x:v>
      </x:c>
      <x:c r="B218" s="26" t="n">
        <x:v>4</x:v>
      </x:c>
      <x:c r="C218" s="26" t="n">
        <x:v>6</x:v>
      </x:c>
      <x:c r="D218" s="24" t="n">
        <x:v>31.94</x:v>
      </x:c>
      <x:c r="E218" s="24" t="n">
        <x:v>35.07</x:v>
      </x:c>
      <x:c r="F218" s="24" t="n">
        <x:v>30.96</x:v>
      </x:c>
      <x:c r="G218" s="24" t="n">
        <x:v>5.22</x:v>
      </x:c>
      <x:c r="H218" s="24" t="n">
        <x:v>29.52</x:v>
      </x:c>
      <x:c r="I218" s="24" t="n">
        <x:v>21.73</x:v>
      </x:c>
      <x:c r="J218" s="24" t="n">
        <x:v>100</x:v>
      </x:c>
      <x:c r="K218" s="24" t="n">
        <x:v>6.9</x:v>
      </x:c>
      <x:c r="L218" s="24" t="n">
        <x:v>-3.62</x:v>
      </x:c>
      <x:c r="M218" s="24" t="n">
        <x:f>0.35*(100-D218)+0.10*(100-E218)+0.20*(100-I218)+0.15*J218+0.10*G218+0.10*K218+L218</x:f>
        <x:v>58.56</x:v>
      </x:c>
      <x:c r="N218" t="str">
        <x:f>IF(M218&lt;27,"Low",IF(M218&lt;50,"Medium","High"))</x:f>
        <x:v>High</x:v>
      </x:c>
    </x:row>
    <x:row r="219">
      <x:c r="A219" t="str">
        <x:v>ML216</x:v>
      </x:c>
      <x:c r="B219" s="26" t="n">
        <x:v>8</x:v>
      </x:c>
      <x:c r="C219" s="26" t="n">
        <x:v>5</x:v>
      </x:c>
      <x:c r="D219" s="24" t="n">
        <x:v>19.86</x:v>
      </x:c>
      <x:c r="E219" s="24" t="n">
        <x:v>19.92</x:v>
      </x:c>
      <x:c r="F219" s="24" t="n">
        <x:v>7.52</x:v>
      </x:c>
      <x:c r="G219" s="24" t="n">
        <x:v>9.39</x:v>
      </x:c>
      <x:c r="H219" s="24" t="n">
        <x:v>24.36</x:v>
      </x:c>
      <x:c r="I219" s="24" t="n">
        <x:v>10.72</x:v>
      </x:c>
      <x:c r="J219" s="24" t="n">
        <x:v>100</x:v>
      </x:c>
      <x:c r="K219" s="24" t="n">
        <x:v>11.41</x:v>
      </x:c>
      <x:c r="L219" s="24" t="n">
        <x:v>-4.72</x:v>
      </x:c>
      <x:c r="M219" s="24" t="n">
        <x:f>0.35*(100-D219)+0.10*(100-E219)+0.20*(100-I219)+0.15*J219+0.10*G219+0.10*K219+L219</x:f>
        <x:v>66.27300000000001</x:v>
      </x:c>
      <x:c r="N219" t="str">
        <x:f>IF(M219&lt;27,"Low",IF(M219&lt;50,"Medium","High"))</x:f>
        <x:v>High</x:v>
      </x:c>
    </x:row>
    <x:row r="220">
      <x:c r="A220" t="str">
        <x:v>ML217</x:v>
      </x:c>
      <x:c r="B220" s="26" t="n">
        <x:v>8</x:v>
      </x:c>
      <x:c r="C220" s="26" t="n">
        <x:v>5</x:v>
      </x:c>
      <x:c r="D220" s="24" t="n">
        <x:v>71.28</x:v>
      </x:c>
      <x:c r="E220" s="24" t="n">
        <x:v>72.45</x:v>
      </x:c>
      <x:c r="F220" s="24" t="n">
        <x:v>63.51</x:v>
      </x:c>
      <x:c r="G220" s="24" t="n">
        <x:v>5.2</x:v>
      </x:c>
      <x:c r="H220" s="24" t="n">
        <x:v>54.65</x:v>
      </x:c>
      <x:c r="I220" s="24" t="n">
        <x:v>27.32</x:v>
      </x:c>
      <x:c r="J220" s="24" t="n">
        <x:v>40</x:v>
      </x:c>
      <x:c r="K220" s="24" t="n">
        <x:v>16.88</x:v>
      </x:c>
      <x:c r="L220" s="24" t="n">
        <x:v>-1.18</x:v>
      </x:c>
      <x:c r="M220" s="24" t="n">
        <x:f>0.35*(100-D220)+0.10*(100-E220)+0.20*(100-I220)+0.15*J220+0.10*G220+0.10*K220+L220</x:f>
        <x:v>34.37100000000001</x:v>
      </x:c>
      <x:c r="N220" t="str">
        <x:f>IF(M220&lt;27,"Low",IF(M220&lt;50,"Medium","High"))</x:f>
        <x:v>Medium</x:v>
      </x:c>
    </x:row>
    <x:row r="221">
      <x:c r="A221" t="str">
        <x:v>ML218</x:v>
      </x:c>
      <x:c r="B221" s="26" t="n">
        <x:v>9</x:v>
      </x:c>
      <x:c r="C221" s="26" t="n">
        <x:v>4</x:v>
      </x:c>
      <x:c r="D221" s="24" t="n">
        <x:v>72.18</x:v>
      </x:c>
      <x:c r="E221" s="24" t="n">
        <x:v>74.21</x:v>
      </x:c>
      <x:c r="F221" s="24" t="n">
        <x:v>48.98</x:v>
      </x:c>
      <x:c r="G221" s="24" t="n">
        <x:v>12.74</x:v>
      </x:c>
      <x:c r="H221" s="24" t="n">
        <x:v>78.27</x:v>
      </x:c>
      <x:c r="I221" s="24" t="n">
        <x:v>67.31</x:v>
      </x:c>
      <x:c r="J221" s="24" t="n">
        <x:v>0</x:v>
      </x:c>
      <x:c r="K221" s="24" t="n">
        <x:v>8.47</x:v>
      </x:c>
      <x:c r="L221" s="24" t="n">
        <x:v>1.41</x:v>
      </x:c>
      <x:c r="M221" s="24" t="n">
        <x:f>0.35*(100-D221)+0.10*(100-E221)+0.20*(100-I221)+0.15*J221+0.10*G221+0.10*K221+L221</x:f>
        <x:v>22.385</x:v>
      </x:c>
      <x:c r="N221" t="str">
        <x:f>IF(M221&lt;27,"Low",IF(M221&lt;50,"Medium","High"))</x:f>
        <x:v>Low</x:v>
      </x:c>
    </x:row>
    <x:row r="222">
      <x:c r="A222" t="str">
        <x:v>ML219</x:v>
      </x:c>
      <x:c r="B222" s="26" t="n">
        <x:v>5</x:v>
      </x:c>
      <x:c r="C222" s="26" t="n">
        <x:v>6</x:v>
      </x:c>
      <x:c r="D222" s="24" t="n">
        <x:v>33.46</x:v>
      </x:c>
      <x:c r="E222" s="24" t="n">
        <x:v>35.55</x:v>
      </x:c>
      <x:c r="F222" s="24" t="n">
        <x:v>26.93</x:v>
      </x:c>
      <x:c r="G222" s="24" t="n">
        <x:v>5.87</x:v>
      </x:c>
      <x:c r="H222" s="24" t="n">
        <x:v>37.06</x:v>
      </x:c>
      <x:c r="I222" s="24" t="n">
        <x:v>24.09</x:v>
      </x:c>
      <x:c r="J222" s="24" t="n">
        <x:v>83.33</x:v>
      </x:c>
      <x:c r="K222" s="24" t="n">
        <x:v>8.88</x:v>
      </x:c>
      <x:c r="L222" s="24" t="n">
        <x:v>-1.17</x:v>
      </x:c>
      <x:c r="M222" s="24" t="n">
        <x:f>0.35*(100-D222)+0.10*(100-E222)+0.20*(100-I222)+0.15*J222+0.10*G222+0.10*K222+L222</x:f>
        <x:v>57.720499999999994</x:v>
      </x:c>
      <x:c r="N222" t="str">
        <x:f>IF(M222&lt;27,"Low",IF(M222&lt;50,"Medium","High"))</x:f>
        <x:v>High</x:v>
      </x:c>
    </x:row>
    <x:row r="223">
      <x:c r="A223" t="str">
        <x:v>ML220</x:v>
      </x:c>
      <x:c r="B223" s="26" t="n">
        <x:v>8</x:v>
      </x:c>
      <x:c r="C223" s="26" t="n">
        <x:v>10</x:v>
      </x:c>
      <x:c r="D223" s="24" t="n">
        <x:v>71.45</x:v>
      </x:c>
      <x:c r="E223" s="24" t="n">
        <x:v>72.27</x:v>
      </x:c>
      <x:c r="F223" s="24" t="n">
        <x:v>66.6</x:v>
      </x:c>
      <x:c r="G223" s="24" t="n">
        <x:v>5.72</x:v>
      </x:c>
      <x:c r="H223" s="24" t="n">
        <x:v>76.8</x:v>
      </x:c>
      <x:c r="I223" s="24" t="n">
        <x:v>63.91</x:v>
      </x:c>
      <x:c r="J223" s="24" t="n">
        <x:v>0</x:v>
      </x:c>
      <x:c r="K223" s="24" t="n">
        <x:v>8.45</x:v>
      </x:c>
      <x:c r="L223" s="24" t="n">
        <x:v>4.03</x:v>
      </x:c>
      <x:c r="M223" s="24" t="n">
        <x:f>0.35*(100-D223)+0.10*(100-E223)+0.20*(100-I223)+0.15*J223+0.10*G223+0.10*K223+L223</x:f>
        <x:v>25.4305</x:v>
      </x:c>
      <x:c r="N223" t="str">
        <x:f>IF(M223&lt;27,"Low",IF(M223&lt;50,"Medium","High"))</x:f>
        <x:v>Low</x:v>
      </x:c>
    </x:row>
    <x:row r="224">
      <x:c r="A224" t="str">
        <x:v>ML221</x:v>
      </x:c>
      <x:c r="B224" s="26" t="n">
        <x:v>5</x:v>
      </x:c>
      <x:c r="C224" s="26" t="n">
        <x:v>5</x:v>
      </x:c>
      <x:c r="D224" s="24" t="n">
        <x:v>80.93</x:v>
      </x:c>
      <x:c r="E224" s="24" t="n">
        <x:v>79.89</x:v>
      </x:c>
      <x:c r="F224" s="24" t="n">
        <x:v>74.98</x:v>
      </x:c>
      <x:c r="G224" s="24" t="n">
        <x:v>2.87</x:v>
      </x:c>
      <x:c r="H224" s="24" t="n">
        <x:v>84.48</x:v>
      </x:c>
      <x:c r="I224" s="24" t="n">
        <x:v>64.31</x:v>
      </x:c>
      <x:c r="J224" s="24" t="n">
        <x:v>0</x:v>
      </x:c>
      <x:c r="K224" s="24" t="n">
        <x:v>10.98</x:v>
      </x:c>
      <x:c r="L224" s="24" t="n">
        <x:v>-0.89</x:v>
      </x:c>
      <x:c r="M224" s="24" t="n">
        <x:f>0.35*(100-D224)+0.10*(100-E224)+0.20*(100-I224)+0.15*J224+0.10*G224+0.10*K224+L224</x:f>
        <x:v>16.318499999999997</x:v>
      </x:c>
      <x:c r="N224" t="str">
        <x:f>IF(M224&lt;27,"Low",IF(M224&lt;50,"Medium","High"))</x:f>
        <x:v>Low</x:v>
      </x:c>
    </x:row>
    <x:row r="225">
      <x:c r="A225" t="str">
        <x:v>ML222</x:v>
      </x:c>
      <x:c r="B225" s="26" t="n">
        <x:v>5</x:v>
      </x:c>
      <x:c r="C225" s="26" t="n">
        <x:v>7</x:v>
      </x:c>
      <x:c r="D225" s="24" t="n">
        <x:v>47.06</x:v>
      </x:c>
      <x:c r="E225" s="24" t="n">
        <x:v>52.24</x:v>
      </x:c>
      <x:c r="F225" s="24" t="n">
        <x:v>30.09</x:v>
      </x:c>
      <x:c r="G225" s="24" t="n">
        <x:v>11.65</x:v>
      </x:c>
      <x:c r="H225" s="24" t="n">
        <x:v>52.61</x:v>
      </x:c>
      <x:c r="I225" s="24" t="n">
        <x:v>31.34</x:v>
      </x:c>
      <x:c r="J225" s="24" t="n">
        <x:v>28.57</x:v>
      </x:c>
      <x:c r="K225" s="24" t="n">
        <x:v>10.73</x:v>
      </x:c>
      <x:c r="L225" s="24" t="n">
        <x:v>-2.22</x:v>
      </x:c>
      <x:c r="M225" s="24" t="n">
        <x:f>0.35*(100-D225)+0.10*(100-E225)+0.20*(100-I225)+0.15*J225+0.10*G225+0.10*K225+L225</x:f>
        <x:v>41.34049999999999</x:v>
      </x:c>
      <x:c r="N225" t="str">
        <x:f>IF(M225&lt;27,"Low",IF(M225&lt;50,"Medium","High"))</x:f>
        <x:v>Medium</x:v>
      </x:c>
    </x:row>
    <x:row r="226">
      <x:c r="A226" t="str">
        <x:v>ML223</x:v>
      </x:c>
      <x:c r="B226" s="26" t="n">
        <x:v>8</x:v>
      </x:c>
      <x:c r="C226" s="26" t="n">
        <x:v>10</x:v>
      </x:c>
      <x:c r="D226" s="24" t="n">
        <x:v>56.41</x:v>
      </x:c>
      <x:c r="E226" s="24" t="n">
        <x:v>59.76</x:v>
      </x:c>
      <x:c r="F226" s="24" t="n">
        <x:v>46.02</x:v>
      </x:c>
      <x:c r="G226" s="24" t="n">
        <x:v>9.57</x:v>
      </x:c>
      <x:c r="H226" s="24" t="n">
        <x:v>63.36</x:v>
      </x:c>
      <x:c r="I226" s="24" t="n">
        <x:v>45.43</x:v>
      </x:c>
      <x:c r="J226" s="24" t="n">
        <x:v>10</x:v>
      </x:c>
      <x:c r="K226" s="24" t="n">
        <x:v>7.53</x:v>
      </x:c>
      <x:c r="L226" s="24" t="n">
        <x:v>2.13</x:v>
      </x:c>
      <x:c r="M226" s="24" t="n">
        <x:f>0.35*(100-D226)+0.10*(100-E226)+0.20*(100-I226)+0.15*J226+0.10*G226+0.10*K226+L226</x:f>
        <x:v>35.5345</x:v>
      </x:c>
      <x:c r="N226" t="str">
        <x:f>IF(M226&lt;27,"Low",IF(M226&lt;50,"Medium","High"))</x:f>
        <x:v>Medium</x:v>
      </x:c>
    </x:row>
    <x:row r="227">
      <x:c r="A227" t="str">
        <x:v>ML224</x:v>
      </x:c>
      <x:c r="B227" s="26" t="n">
        <x:v>5</x:v>
      </x:c>
      <x:c r="C227" s="26" t="n">
        <x:v>6</x:v>
      </x:c>
      <x:c r="D227" s="24" t="n">
        <x:v>55.7</x:v>
      </x:c>
      <x:c r="E227" s="24" t="n">
        <x:v>52.82</x:v>
      </x:c>
      <x:c r="F227" s="24" t="n">
        <x:v>46.49</x:v>
      </x:c>
      <x:c r="G227" s="24" t="n">
        <x:v>4.21</x:v>
      </x:c>
      <x:c r="H227" s="24" t="n">
        <x:v>51.31</x:v>
      </x:c>
      <x:c r="I227" s="24" t="n">
        <x:v>36.97</x:v>
      </x:c>
      <x:c r="J227" s="24" t="n">
        <x:v>66.67</x:v>
      </x:c>
      <x:c r="K227" s="24" t="n">
        <x:v>12.98</x:v>
      </x:c>
      <x:c r="L227" s="24" t="n">
        <x:v>-0.74</x:v>
      </x:c>
      <x:c r="M227" s="24" t="n">
        <x:f>0.35*(100-D227)+0.10*(100-E227)+0.20*(100-I227)+0.15*J227+0.10*G227+0.10*K227+L227</x:f>
        <x:v>43.8085</x:v>
      </x:c>
      <x:c r="N227" t="str">
        <x:f>IF(M227&lt;27,"Low",IF(M227&lt;50,"Medium","High"))</x:f>
        <x:v>Medium</x:v>
      </x:c>
    </x:row>
    <x:row r="228">
      <x:c r="A228" t="str">
        <x:v>ML225</x:v>
      </x:c>
      <x:c r="B228" s="26" t="n">
        <x:v>9</x:v>
      </x:c>
      <x:c r="C228" s="26" t="n">
        <x:v>10</x:v>
      </x:c>
      <x:c r="D228" s="24" t="n">
        <x:v>78.43</x:v>
      </x:c>
      <x:c r="E228" s="24" t="n">
        <x:v>79.27</x:v>
      </x:c>
      <x:c r="F228" s="24" t="n">
        <x:v>67.58</x:v>
      </x:c>
      <x:c r="G228" s="24" t="n">
        <x:v>6.28</x:v>
      </x:c>
      <x:c r="H228" s="24" t="n">
        <x:v>68.17</x:v>
      </x:c>
      <x:c r="I228" s="24" t="n">
        <x:v>46.86</x:v>
      </x:c>
      <x:c r="J228" s="24" t="n">
        <x:v>10</x:v>
      </x:c>
      <x:c r="K228" s="24" t="n">
        <x:v>9.34</x:v>
      </x:c>
      <x:c r="L228" s="24" t="n">
        <x:v>1.18</x:v>
      </x:c>
      <x:c r="M228" s="24" t="n">
        <x:f>0.35*(100-D228)+0.10*(100-E228)+0.20*(100-I228)+0.15*J228+0.10*G228+0.10*K228+L228</x:f>
        <x:v>24.4925</x:v>
      </x:c>
      <x:c r="N228" t="str">
        <x:f>IF(M228&lt;27,"Low",IF(M228&lt;50,"Medium","High"))</x:f>
        <x:v>Low</x:v>
      </x:c>
    </x:row>
    <x:row r="229">
      <x:c r="A229" t="str">
        <x:v>ML226</x:v>
      </x:c>
      <x:c r="B229" s="26" t="n">
        <x:v>6</x:v>
      </x:c>
      <x:c r="C229" s="26" t="n">
        <x:v>8</x:v>
      </x:c>
      <x:c r="D229" s="24" t="n">
        <x:v>30.24</x:v>
      </x:c>
      <x:c r="E229" s="24" t="n">
        <x:v>32.87</x:v>
      </x:c>
      <x:c r="F229" s="24" t="n">
        <x:v>24.27</x:v>
      </x:c>
      <x:c r="G229" s="24" t="n">
        <x:v>6.7</x:v>
      </x:c>
      <x:c r="H229" s="24" t="n">
        <x:v>25.03</x:v>
      </x:c>
      <x:c r="I229" s="24" t="n">
        <x:v>8.05</x:v>
      </x:c>
      <x:c r="J229" s="24" t="n">
        <x:v>100</x:v>
      </x:c>
      <x:c r="K229" s="24" t="n">
        <x:v>11.11</x:v>
      </x:c>
      <x:c r="L229" s="24" t="n">
        <x:v>0.14</x:v>
      </x:c>
      <x:c r="M229" s="24" t="n">
        <x:f>0.35*(100-D229)+0.10*(100-E229)+0.20*(100-I229)+0.15*J229+0.10*G229+0.10*K229+L229</x:f>
        <x:v>66.44000000000001</x:v>
      </x:c>
      <x:c r="N229" t="str">
        <x:f>IF(M229&lt;27,"Low",IF(M229&lt;50,"Medium","High"))</x:f>
        <x:v>High</x:v>
      </x:c>
    </x:row>
    <x:row r="230">
      <x:c r="A230" t="str">
        <x:v>ML227</x:v>
      </x:c>
      <x:c r="B230" s="26" t="n">
        <x:v>6</x:v>
      </x:c>
      <x:c r="C230" s="26" t="n">
        <x:v>4</x:v>
      </x:c>
      <x:c r="D230" s="24" t="n">
        <x:v>80.9</x:v>
      </x:c>
      <x:c r="E230" s="24" t="n">
        <x:v>78.83</x:v>
      </x:c>
      <x:c r="F230" s="24" t="n">
        <x:v>72.98</x:v>
      </x:c>
      <x:c r="G230" s="24" t="n">
        <x:v>4.6</x:v>
      </x:c>
      <x:c r="H230" s="24" t="n">
        <x:v>84.4</x:v>
      </x:c>
      <x:c r="I230" s="24" t="n">
        <x:v>80.58</x:v>
      </x:c>
      <x:c r="J230" s="24" t="n">
        <x:v>0</x:v>
      </x:c>
      <x:c r="K230" s="24" t="n">
        <x:v>3.32</x:v>
      </x:c>
      <x:c r="L230" s="24" t="n">
        <x:v>-3.93</x:v>
      </x:c>
      <x:c r="M230" s="24" t="n">
        <x:f>0.35*(100-D230)+0.10*(100-E230)+0.20*(100-I230)+0.15*J230+0.10*G230+0.10*K230+L230</x:f>
        <x:v>9.547999999999998</x:v>
      </x:c>
      <x:c r="N230" t="str">
        <x:f>IF(M230&lt;27,"Low",IF(M230&lt;50,"Medium","High"))</x:f>
        <x:v>Low</x:v>
      </x:c>
    </x:row>
    <x:row r="231">
      <x:c r="A231" t="str">
        <x:v>ML228</x:v>
      </x:c>
      <x:c r="B231" s="26" t="n">
        <x:v>4</x:v>
      </x:c>
      <x:c r="C231" s="26" t="n">
        <x:v>8</x:v>
      </x:c>
      <x:c r="D231" s="24" t="n">
        <x:v>71.81</x:v>
      </x:c>
      <x:c r="E231" s="24" t="n">
        <x:v>72.74</x:v>
      </x:c>
      <x:c r="F231" s="24" t="n">
        <x:v>61.42</x:v>
      </x:c>
      <x:c r="G231" s="24" t="n">
        <x:v>6.98</x:v>
      </x:c>
      <x:c r="H231" s="24" t="n">
        <x:v>54.8</x:v>
      </x:c>
      <x:c r="I231" s="24" t="n">
        <x:v>40.26</x:v>
      </x:c>
      <x:c r="J231" s="24" t="n">
        <x:v>37.5</x:v>
      </x:c>
      <x:c r="K231" s="24" t="n">
        <x:v>8.2</x:v>
      </x:c>
      <x:c r="L231" s="24" t="n">
        <x:v>-1.07</x:v>
      </x:c>
      <x:c r="M231" s="24" t="n">
        <x:f>0.35*(100-D231)+0.10*(100-E231)+0.20*(100-I231)+0.15*J231+0.10*G231+0.10*K231+L231</x:f>
        <x:v>30.613500000000002</x:v>
      </x:c>
      <x:c r="N231" t="str">
        <x:f>IF(M231&lt;27,"Low",IF(M231&lt;50,"Medium","High"))</x:f>
        <x:v>Medium</x:v>
      </x:c>
    </x:row>
    <x:row r="232">
      <x:c r="A232" t="str">
        <x:v>ML229</x:v>
      </x:c>
      <x:c r="B232" s="26" t="n">
        <x:v>9</x:v>
      </x:c>
      <x:c r="C232" s="26" t="n">
        <x:v>4</x:v>
      </x:c>
      <x:c r="D232" s="24" t="n">
        <x:v>70.95</x:v>
      </x:c>
      <x:c r="E232" s="24" t="n">
        <x:v>71.32</x:v>
      </x:c>
      <x:c r="F232" s="24" t="n">
        <x:v>60.34</x:v>
      </x:c>
      <x:c r="G232" s="24" t="n">
        <x:v>6.55</x:v>
      </x:c>
      <x:c r="H232" s="24" t="n">
        <x:v>69.2</x:v>
      </x:c>
      <x:c r="I232" s="24" t="n">
        <x:v>56.35</x:v>
      </x:c>
      <x:c r="J232" s="24" t="n">
        <x:v>0</x:v>
      </x:c>
      <x:c r="K232" s="24" t="n">
        <x:v>7.45</x:v>
      </x:c>
      <x:c r="L232" s="24" t="n">
        <x:v>-5.47</x:v>
      </x:c>
      <x:c r="M232" s="24" t="n">
        <x:f>0.35*(100-D232)+0.10*(100-E232)+0.20*(100-I232)+0.15*J232+0.10*G232+0.10*K232+L232</x:f>
        <x:v>17.695500000000003</x:v>
      </x:c>
      <x:c r="N232" t="str">
        <x:f>IF(M232&lt;27,"Low",IF(M232&lt;50,"Medium","High"))</x:f>
        <x:v>Low</x:v>
      </x:c>
    </x:row>
    <x:row r="233">
      <x:c r="A233" t="str">
        <x:v>ML230</x:v>
      </x:c>
      <x:c r="B233" s="26" t="n">
        <x:v>4</x:v>
      </x:c>
      <x:c r="C233" s="26" t="n">
        <x:v>5</x:v>
      </x:c>
      <x:c r="D233" s="24" t="n">
        <x:v>88.91</x:v>
      </x:c>
      <x:c r="E233" s="24" t="n">
        <x:v>89.94</x:v>
      </x:c>
      <x:c r="F233" s="24" t="n">
        <x:v>73.41</x:v>
      </x:c>
      <x:c r="G233" s="24" t="n">
        <x:v>9.94</x:v>
      </x:c>
      <x:c r="H233" s="24" t="n">
        <x:v>74.09</x:v>
      </x:c>
      <x:c r="I233" s="24" t="n">
        <x:v>67.34</x:v>
      </x:c>
      <x:c r="J233" s="24" t="n">
        <x:v>0</x:v>
      </x:c>
      <x:c r="K233" s="24" t="n">
        <x:v>4.13</x:v>
      </x:c>
      <x:c r="L233" s="24" t="n">
        <x:v>-0.42</x:v>
      </x:c>
      <x:c r="M233" s="24" t="n">
        <x:f>0.35*(100-D233)+0.10*(100-E233)+0.20*(100-I233)+0.15*J233+0.10*G233+0.10*K233+L233</x:f>
        <x:v>12.406500000000001</x:v>
      </x:c>
      <x:c r="N233" t="str">
        <x:f>IF(M233&lt;27,"Low",IF(M233&lt;50,"Medium","High"))</x:f>
        <x:v>Low</x:v>
      </x:c>
    </x:row>
    <x:row r="234">
      <x:c r="A234" t="str">
        <x:v>ML231</x:v>
      </x:c>
      <x:c r="B234" s="26" t="n">
        <x:v>9</x:v>
      </x:c>
      <x:c r="C234" s="26" t="n">
        <x:v>4</x:v>
      </x:c>
      <x:c r="D234" s="24" t="n">
        <x:v>88.39</x:v>
      </x:c>
      <x:c r="E234" s="24" t="n">
        <x:v>84.05</x:v>
      </x:c>
      <x:c r="F234" s="24" t="n">
        <x:v>72.97</x:v>
      </x:c>
      <x:c r="G234" s="24" t="n">
        <x:v>6.23</x:v>
      </x:c>
      <x:c r="H234" s="24" t="n">
        <x:v>72.33</x:v>
      </x:c>
      <x:c r="I234" s="24" t="n">
        <x:v>54.4</x:v>
      </x:c>
      <x:c r="J234" s="24" t="n">
        <x:v>0</x:v>
      </x:c>
      <x:c r="K234" s="24" t="n">
        <x:v>10.88</x:v>
      </x:c>
      <x:c r="L234" s="24" t="n">
        <x:v>-1.28</x:v>
      </x:c>
      <x:c r="M234" s="24" t="n">
        <x:f>0.35*(100-D234)+0.10*(100-E234)+0.20*(100-I234)+0.15*J234+0.10*G234+0.10*K234+L234</x:f>
        <x:v>15.2095</x:v>
      </x:c>
      <x:c r="N234" t="str">
        <x:f>IF(M234&lt;27,"Low",IF(M234&lt;50,"Medium","High"))</x:f>
        <x:v>Low</x:v>
      </x:c>
    </x:row>
    <x:row r="235">
      <x:c r="A235" t="str">
        <x:v>ML232</x:v>
      </x:c>
      <x:c r="B235" s="26" t="n">
        <x:v>9</x:v>
      </x:c>
      <x:c r="C235" s="26" t="n">
        <x:v>6</x:v>
      </x:c>
      <x:c r="D235" s="24" t="n">
        <x:v>51.07</x:v>
      </x:c>
      <x:c r="E235" s="24" t="n">
        <x:v>53.54</x:v>
      </x:c>
      <x:c r="F235" s="24" t="n">
        <x:v>46.16</x:v>
      </x:c>
      <x:c r="G235" s="24" t="n">
        <x:v>6.12</x:v>
      </x:c>
      <x:c r="H235" s="24" t="n">
        <x:v>57.64</x:v>
      </x:c>
      <x:c r="I235" s="24" t="n">
        <x:v>50.68</x:v>
      </x:c>
      <x:c r="J235" s="24" t="n">
        <x:v>0</x:v>
      </x:c>
      <x:c r="K235" s="24" t="n">
        <x:v>4.91</x:v>
      </x:c>
      <x:c r="L235" s="24" t="n">
        <x:v>4.32</x:v>
      </x:c>
      <x:c r="M235" s="24" t="n">
        <x:f>0.35*(100-D235)+0.10*(100-E235)+0.20*(100-I235)+0.15*J235+0.10*G235+0.10*K235+L235</x:f>
        <x:v>37.0585</x:v>
      </x:c>
      <x:c r="N235" t="str">
        <x:f>IF(M235&lt;27,"Low",IF(M235&lt;50,"Medium","High"))</x:f>
        <x:v>Medium</x:v>
      </x:c>
    </x:row>
    <x:row r="236">
      <x:c r="A236" t="str">
        <x:v>ML233</x:v>
      </x:c>
      <x:c r="B236" s="26" t="n">
        <x:v>8</x:v>
      </x:c>
      <x:c r="C236" s="26" t="n">
        <x:v>4</x:v>
      </x:c>
      <x:c r="D236" s="24" t="n">
        <x:v>47.51</x:v>
      </x:c>
      <x:c r="E236" s="24" t="n">
        <x:v>44.37</x:v>
      </x:c>
      <x:c r="F236" s="24" t="n">
        <x:v>27.28</x:v>
      </x:c>
      <x:c r="G236" s="24" t="n">
        <x:v>9.81</x:v>
      </x:c>
      <x:c r="H236" s="24" t="n">
        <x:v>26.1</x:v>
      </x:c>
      <x:c r="I236" s="24" t="n">
        <x:v>16.89</x:v>
      </x:c>
      <x:c r="J236" s="24" t="n">
        <x:v>100</x:v>
      </x:c>
      <x:c r="K236" s="24" t="n">
        <x:v>7.29</x:v>
      </x:c>
      <x:c r="L236" s="24" t="n">
        <x:v>-4.32</x:v>
      </x:c>
      <x:c r="M236" s="24" t="n">
        <x:f>0.35*(100-D236)+0.10*(100-E236)+0.20*(100-I236)+0.15*J236+0.10*G236+0.10*K236+L236</x:f>
        <x:v>52.9465</x:v>
      </x:c>
      <x:c r="N236" t="str">
        <x:f>IF(M236&lt;27,"Low",IF(M236&lt;50,"Medium","High"))</x:f>
        <x:v>High</x:v>
      </x:c>
    </x:row>
    <x:row r="237">
      <x:c r="A237" t="str">
        <x:v>ML234</x:v>
      </x:c>
      <x:c r="B237" s="26" t="n">
        <x:v>7</x:v>
      </x:c>
      <x:c r="C237" s="26" t="n">
        <x:v>10</x:v>
      </x:c>
      <x:c r="D237" s="24" t="n">
        <x:v>62.58</x:v>
      </x:c>
      <x:c r="E237" s="24" t="n">
        <x:v>60.92</x:v>
      </x:c>
      <x:c r="F237" s="24" t="n">
        <x:v>52.82</x:v>
      </x:c>
      <x:c r="G237" s="24" t="n">
        <x:v>4.47</x:v>
      </x:c>
      <x:c r="H237" s="24" t="n">
        <x:v>50.27</x:v>
      </x:c>
      <x:c r="I237" s="24" t="n">
        <x:v>5.72</x:v>
      </x:c>
      <x:c r="J237" s="24" t="n">
        <x:v>50</x:v>
      </x:c>
      <x:c r="K237" s="24" t="n">
        <x:v>23.43</x:v>
      </x:c>
      <x:c r="L237" s="24" t="n">
        <x:v>0.7</x:v>
      </x:c>
      <x:c r="M237" s="24" t="n">
        <x:f>0.35*(100-D237)+0.10*(100-E237)+0.20*(100-I237)+0.15*J237+0.10*G237+0.10*K237+L237</x:f>
        <x:v>46.85100000000001</x:v>
      </x:c>
      <x:c r="N237" t="str">
        <x:f>IF(M237&lt;27,"Low",IF(M237&lt;50,"Medium","High"))</x:f>
        <x:v>Medium</x:v>
      </x:c>
    </x:row>
    <x:row r="238">
      <x:c r="A238" t="str">
        <x:v>ML235</x:v>
      </x:c>
      <x:c r="B238" s="26" t="n">
        <x:v>7</x:v>
      </x:c>
      <x:c r="C238" s="26" t="n">
        <x:v>6</x:v>
      </x:c>
      <x:c r="D238" s="24" t="n">
        <x:v>33.89</x:v>
      </x:c>
      <x:c r="E238" s="24" t="n">
        <x:v>35.5</x:v>
      </x:c>
      <x:c r="F238" s="24" t="n">
        <x:v>23.32</x:v>
      </x:c>
      <x:c r="G238" s="24" t="n">
        <x:v>8.4</x:v>
      </x:c>
      <x:c r="H238" s="24" t="n">
        <x:v>28.97</x:v>
      </x:c>
      <x:c r="I238" s="24" t="n">
        <x:v>11.6</x:v>
      </x:c>
      <x:c r="J238" s="24" t="n">
        <x:v>100</x:v>
      </x:c>
      <x:c r="K238" s="24" t="n">
        <x:v>10.48</x:v>
      </x:c>
      <x:c r="L238" s="24" t="n">
        <x:v>-8.18</x:v>
      </x:c>
      <x:c r="M238" s="24" t="n">
        <x:f>0.35*(100-D238)+0.10*(100-E238)+0.20*(100-I238)+0.15*J238+0.10*G238+0.10*K238+L238</x:f>
        <x:v>55.97650000000001</x:v>
      </x:c>
      <x:c r="N238" t="str">
        <x:f>IF(M238&lt;27,"Low",IF(M238&lt;50,"Medium","High"))</x:f>
        <x:v>High</x:v>
      </x:c>
    </x:row>
    <x:row r="239">
      <x:c r="A239" t="str">
        <x:v>ML236</x:v>
      </x:c>
      <x:c r="B239" s="26" t="n">
        <x:v>8</x:v>
      </x:c>
      <x:c r="C239" s="26" t="n">
        <x:v>9</x:v>
      </x:c>
      <x:c r="D239" s="24" t="n">
        <x:v>27.12</x:v>
      </x:c>
      <x:c r="E239" s="24" t="n">
        <x:v>26.2</x:v>
      </x:c>
      <x:c r="F239" s="24" t="n">
        <x:v>12.74</x:v>
      </x:c>
      <x:c r="G239" s="24" t="n">
        <x:v>7.85</x:v>
      </x:c>
      <x:c r="H239" s="24" t="n">
        <x:v>26.6</x:v>
      </x:c>
      <x:c r="I239" s="24" t="n">
        <x:v>17.79</x:v>
      </x:c>
      <x:c r="J239" s="24" t="n">
        <x:v>100</x:v>
      </x:c>
      <x:c r="K239" s="24" t="n">
        <x:v>4.42</x:v>
      </x:c>
      <x:c r="L239" s="24" t="n">
        <x:v>0.41</x:v>
      </x:c>
      <x:c r="M239" s="24" t="n">
        <x:f>0.35*(100-D239)+0.10*(100-E239)+0.20*(100-I239)+0.15*J239+0.10*G239+0.10*K239+L239</x:f>
        <x:v>65.96699999999998</x:v>
      </x:c>
      <x:c r="N239" t="str">
        <x:f>IF(M239&lt;27,"Low",IF(M239&lt;50,"Medium","High"))</x:f>
        <x:v>High</x:v>
      </x:c>
    </x:row>
    <x:row r="240">
      <x:c r="A240" t="str">
        <x:v>ML237</x:v>
      </x:c>
      <x:c r="B240" s="26" t="n">
        <x:v>9</x:v>
      </x:c>
      <x:c r="C240" s="26" t="n">
        <x:v>7</x:v>
      </x:c>
      <x:c r="D240" s="24" t="n">
        <x:v>66.29</x:v>
      </x:c>
      <x:c r="E240" s="24" t="n">
        <x:v>66.62</x:v>
      </x:c>
      <x:c r="F240" s="24" t="n">
        <x:v>56.16</x:v>
      </x:c>
      <x:c r="G240" s="24" t="n">
        <x:v>6.2</x:v>
      </x:c>
      <x:c r="H240" s="24" t="n">
        <x:v>54.42</x:v>
      </x:c>
      <x:c r="I240" s="24" t="n">
        <x:v>32.31</x:v>
      </x:c>
      <x:c r="J240" s="24" t="n">
        <x:v>42.86</x:v>
      </x:c>
      <x:c r="K240" s="24" t="n">
        <x:v>13.28</x:v>
      </x:c>
      <x:c r="L240" s="24" t="n">
        <x:v>3.36</x:v>
      </x:c>
      <x:c r="M240" s="24" t="n">
        <x:f>0.35*(100-D240)+0.10*(100-E240)+0.20*(100-I240)+0.15*J240+0.10*G240+0.10*K240+L240</x:f>
        <x:v>40.4115</x:v>
      </x:c>
      <x:c r="N240" t="str">
        <x:f>IF(M240&lt;27,"Low",IF(M240&lt;50,"Medium","High"))</x:f>
        <x:v>Medium</x:v>
      </x:c>
    </x:row>
    <x:row r="241">
      <x:c r="A241" t="str">
        <x:v>ML238</x:v>
      </x:c>
      <x:c r="B241" s="26" t="n">
        <x:v>9</x:v>
      </x:c>
      <x:c r="C241" s="26" t="n">
        <x:v>8</x:v>
      </x:c>
      <x:c r="D241" s="24" t="n">
        <x:v>37.59</x:v>
      </x:c>
      <x:c r="E241" s="24" t="n">
        <x:v>37.94</x:v>
      </x:c>
      <x:c r="F241" s="24" t="n">
        <x:v>16.89</x:v>
      </x:c>
      <x:c r="G241" s="24" t="n">
        <x:v>9.97</x:v>
      </x:c>
      <x:c r="H241" s="24" t="n">
        <x:v>38.18</x:v>
      </x:c>
      <x:c r="I241" s="24" t="n">
        <x:v>25.22</x:v>
      </x:c>
      <x:c r="J241" s="24" t="n">
        <x:v>100</x:v>
      </x:c>
      <x:c r="K241" s="24" t="n">
        <x:v>7.37</x:v>
      </x:c>
      <x:c r="L241" s="24" t="n">
        <x:v>-0.79</x:v>
      </x:c>
      <x:c r="M241" s="24" t="n">
        <x:f>0.35*(100-D241)+0.10*(100-E241)+0.20*(100-I241)+0.15*J241+0.10*G241+0.10*K241+L241</x:f>
        <x:v>58.9495</x:v>
      </x:c>
      <x:c r="N241" t="str">
        <x:f>IF(M241&lt;27,"Low",IF(M241&lt;50,"Medium","High"))</x:f>
        <x:v>High</x:v>
      </x:c>
    </x:row>
    <x:row r="242">
      <x:c r="A242" t="str">
        <x:v>ML239</x:v>
      </x:c>
      <x:c r="B242" s="26" t="n">
        <x:v>7</x:v>
      </x:c>
      <x:c r="C242" s="26" t="n">
        <x:v>9</x:v>
      </x:c>
      <x:c r="D242" s="24" t="n">
        <x:v>77.45</x:v>
      </x:c>
      <x:c r="E242" s="24" t="n">
        <x:v>74.86</x:v>
      </x:c>
      <x:c r="F242" s="24" t="n">
        <x:v>69.92</x:v>
      </x:c>
      <x:c r="G242" s="24" t="n">
        <x:v>2.9</x:v>
      </x:c>
      <x:c r="H242" s="24" t="n">
        <x:v>68.34</x:v>
      </x:c>
      <x:c r="I242" s="24" t="n">
        <x:v>49.95</x:v>
      </x:c>
      <x:c r="J242" s="24" t="n">
        <x:v>11.11</x:v>
      </x:c>
      <x:c r="K242" s="24" t="n">
        <x:v>8.87</x:v>
      </x:c>
      <x:c r="L242" s="24" t="n">
        <x:v>-0.07</x:v>
      </x:c>
      <x:c r="M242" s="24" t="n">
        <x:f>0.35*(100-D242)+0.10*(100-E242)+0.20*(100-I242)+0.15*J242+0.10*G242+0.10*K242+L242</x:f>
        <x:v>23.189999999999998</x:v>
      </x:c>
      <x:c r="N242" t="str">
        <x:f>IF(M242&lt;27,"Low",IF(M242&lt;50,"Medium","High"))</x:f>
        <x:v>Low</x:v>
      </x:c>
    </x:row>
    <x:row r="243">
      <x:c r="A243" t="str">
        <x:v>ML240</x:v>
      </x:c>
      <x:c r="B243" s="26" t="n">
        <x:v>4</x:v>
      </x:c>
      <x:c r="C243" s="26" t="n">
        <x:v>5</x:v>
      </x:c>
      <x:c r="D243" s="24" t="n">
        <x:v>81.3</x:v>
      </x:c>
      <x:c r="E243" s="24" t="n">
        <x:v>78.06</x:v>
      </x:c>
      <x:c r="F243" s="24" t="n">
        <x:v>61.1</x:v>
      </x:c>
      <x:c r="G243" s="24" t="n">
        <x:v>11.39</x:v>
      </x:c>
      <x:c r="H243" s="24" t="n">
        <x:v>76.67</x:v>
      </x:c>
      <x:c r="I243" s="24" t="n">
        <x:v>56.48</x:v>
      </x:c>
      <x:c r="J243" s="24" t="n">
        <x:v>0</x:v>
      </x:c>
      <x:c r="K243" s="24" t="n">
        <x:v>15.35</x:v>
      </x:c>
      <x:c r="L243" s="24" t="n">
        <x:v>0.89</x:v>
      </x:c>
      <x:c r="M243" s="24" t="n">
        <x:f>0.35*(100-D243)+0.10*(100-E243)+0.20*(100-I243)+0.15*J243+0.10*G243+0.10*K243+L243</x:f>
        <x:v>21.007</x:v>
      </x:c>
      <x:c r="N243" t="str">
        <x:f>IF(M243&lt;27,"Low",IF(M243&lt;50,"Medium","High"))</x:f>
        <x:v>Low</x:v>
      </x:c>
    </x:row>
    <x:row r="244">
      <x:c r="A244" t="str">
        <x:v>ML241</x:v>
      </x:c>
      <x:c r="B244" s="26" t="n">
        <x:v>9</x:v>
      </x:c>
      <x:c r="C244" s="26" t="n">
        <x:v>5</x:v>
      </x:c>
      <x:c r="D244" s="24" t="n">
        <x:v>50.21</x:v>
      </x:c>
      <x:c r="E244" s="24" t="n">
        <x:v>54.52</x:v>
      </x:c>
      <x:c r="F244" s="24" t="n">
        <x:v>42.3</x:v>
      </x:c>
      <x:c r="G244" s="24" t="n">
        <x:v>8.26</x:v>
      </x:c>
      <x:c r="H244" s="24" t="n">
        <x:v>51.94</x:v>
      </x:c>
      <x:c r="I244" s="24" t="n">
        <x:v>32.15</x:v>
      </x:c>
      <x:c r="J244" s="24" t="n">
        <x:v>40</x:v>
      </x:c>
      <x:c r="K244" s="24" t="n">
        <x:v>15.3</x:v>
      </x:c>
      <x:c r="L244" s="24" t="n">
        <x:v>-1.34</x:v>
      </x:c>
      <x:c r="M244" s="24" t="n">
        <x:f>0.35*(100-D244)+0.10*(100-E244)+0.20*(100-I244)+0.15*J244+0.10*G244+0.10*K244+L244</x:f>
        <x:v>42.5605</x:v>
      </x:c>
      <x:c r="N244" t="str">
        <x:f>IF(M244&lt;27,"Low",IF(M244&lt;50,"Medium","High"))</x:f>
        <x:v>Medium</x:v>
      </x:c>
    </x:row>
    <x:row r="245">
      <x:c r="A245" t="str">
        <x:v>ML242</x:v>
      </x:c>
      <x:c r="B245" s="26" t="n">
        <x:v>9</x:v>
      </x:c>
      <x:c r="C245" s="26" t="n">
        <x:v>8</x:v>
      </x:c>
      <x:c r="D245" s="24" t="n">
        <x:v>21.88</x:v>
      </x:c>
      <x:c r="E245" s="24" t="n">
        <x:v>20.71</x:v>
      </x:c>
      <x:c r="F245" s="24" t="n">
        <x:v>9.66</x:v>
      </x:c>
      <x:c r="G245" s="24" t="n">
        <x:v>7.06</x:v>
      </x:c>
      <x:c r="H245" s="24" t="n">
        <x:v>11.69</x:v>
      </x:c>
      <x:c r="I245" s="24" t="n">
        <x:v>0</x:v>
      </x:c>
      <x:c r="J245" s="24" t="n">
        <x:v>100</x:v>
      </x:c>
      <x:c r="K245" s="24" t="n">
        <x:v>12.16</x:v>
      </x:c>
      <x:c r="L245" s="24" t="n">
        <x:v>-0.46</x:v>
      </x:c>
      <x:c r="M245" s="24" t="n">
        <x:f>0.35*(100-D245)+0.10*(100-E245)+0.20*(100-I245)+0.15*J245+0.10*G245+0.10*K245+L245</x:f>
        <x:v>71.733</x:v>
      </x:c>
      <x:c r="N245" t="str">
        <x:f>IF(M245&lt;27,"Low",IF(M245&lt;50,"Medium","High"))</x:f>
        <x:v>High</x:v>
      </x:c>
    </x:row>
    <x:row r="246">
      <x:c r="A246" t="str">
        <x:v>ML243</x:v>
      </x:c>
      <x:c r="B246" s="26" t="n">
        <x:v>8</x:v>
      </x:c>
      <x:c r="C246" s="26" t="n">
        <x:v>9</x:v>
      </x:c>
      <x:c r="D246" s="24" t="n">
        <x:v>73.38</x:v>
      </x:c>
      <x:c r="E246" s="24" t="n">
        <x:v>70.32</x:v>
      </x:c>
      <x:c r="F246" s="24" t="n">
        <x:v>58.82</x:v>
      </x:c>
      <x:c r="G246" s="24" t="n">
        <x:v>7.39</x:v>
      </x:c>
      <x:c r="H246" s="24" t="n">
        <x:v>59.46</x:v>
      </x:c>
      <x:c r="I246" s="24" t="n">
        <x:v>44.51</x:v>
      </x:c>
      <x:c r="J246" s="24" t="n">
        <x:v>22.22</x:v>
      </x:c>
      <x:c r="K246" s="24" t="n">
        <x:v>8.46</x:v>
      </x:c>
      <x:c r="L246" s="24" t="n">
        <x:v>-1.73</x:v>
      </x:c>
      <x:c r="M246" s="24" t="n">
        <x:f>0.35*(100-D246)+0.10*(100-E246)+0.20*(100-I246)+0.15*J246+0.10*G246+0.10*K246+L246</x:f>
        <x:v>26.571</x:v>
      </x:c>
      <x:c r="N246" t="str">
        <x:f>IF(M246&lt;27,"Low",IF(M246&lt;50,"Medium","High"))</x:f>
        <x:v>Low</x:v>
      </x:c>
    </x:row>
    <x:row r="247">
      <x:c r="A247" t="str">
        <x:v>ML244</x:v>
      </x:c>
      <x:c r="B247" s="26" t="n">
        <x:v>6</x:v>
      </x:c>
      <x:c r="C247" s="26" t="n">
        <x:v>8</x:v>
      </x:c>
      <x:c r="D247" s="24" t="n">
        <x:v>53.33</x:v>
      </x:c>
      <x:c r="E247" s="24" t="n">
        <x:v>52.38</x:v>
      </x:c>
      <x:c r="F247" s="24" t="n">
        <x:v>32.39</x:v>
      </x:c>
      <x:c r="G247" s="24" t="n">
        <x:v>11.21</x:v>
      </x:c>
      <x:c r="H247" s="24" t="n">
        <x:v>48.83</x:v>
      </x:c>
      <x:c r="I247" s="24" t="n">
        <x:v>34.45</x:v>
      </x:c>
      <x:c r="J247" s="24" t="n">
        <x:v>62.5</x:v>
      </x:c>
      <x:c r="K247" s="24" t="n">
        <x:v>13.09</x:v>
      </x:c>
      <x:c r="L247" s="24" t="n">
        <x:v>5.66</x:v>
      </x:c>
      <x:c r="M247" s="24" t="n">
        <x:f>0.35*(100-D247)+0.10*(100-E247)+0.20*(100-I247)+0.15*J247+0.10*G247+0.10*K247+L247</x:f>
        <x:v>51.671499999999995</x:v>
      </x:c>
      <x:c r="N247" t="str">
        <x:f>IF(M247&lt;27,"Low",IF(M247&lt;50,"Medium","High"))</x:f>
        <x:v>High</x:v>
      </x:c>
    </x:row>
    <x:row r="248">
      <x:c r="A248" t="str">
        <x:v>ML245</x:v>
      </x:c>
      <x:c r="B248" s="26" t="n">
        <x:v>8</x:v>
      </x:c>
      <x:c r="C248" s="26" t="n">
        <x:v>10</x:v>
      </x:c>
      <x:c r="D248" s="24" t="n">
        <x:v>74.45</x:v>
      </x:c>
      <x:c r="E248" s="24" t="n">
        <x:v>74.38</x:v>
      </x:c>
      <x:c r="F248" s="24" t="n">
        <x:v>69.31</x:v>
      </x:c>
      <x:c r="G248" s="24" t="n">
        <x:v>5.52</x:v>
      </x:c>
      <x:c r="H248" s="24" t="n">
        <x:v>72.08</x:v>
      </x:c>
      <x:c r="I248" s="24" t="n">
        <x:v>46.4</x:v>
      </x:c>
      <x:c r="J248" s="24" t="n">
        <x:v>10</x:v>
      </x:c>
      <x:c r="K248" s="24" t="n">
        <x:v>13.61</x:v>
      </x:c>
      <x:c r="L248" s="24" t="n">
        <x:v>-1.9</x:v>
      </x:c>
      <x:c r="M248" s="24" t="n">
        <x:f>0.35*(100-D248)+0.10*(100-E248)+0.20*(100-I248)+0.15*J248+0.10*G248+0.10*K248+L248</x:f>
        <x:v>23.7375</x:v>
      </x:c>
      <x:c r="N248" t="str">
        <x:f>IF(M248&lt;27,"Low",IF(M248&lt;50,"Medium","High"))</x:f>
        <x:v>Low</x:v>
      </x:c>
    </x:row>
    <x:row r="249">
      <x:c r="A249" t="str">
        <x:v>ML246</x:v>
      </x:c>
      <x:c r="B249" s="26" t="n">
        <x:v>7</x:v>
      </x:c>
      <x:c r="C249" s="26" t="n">
        <x:v>8</x:v>
      </x:c>
      <x:c r="D249" s="24" t="n">
        <x:v>44.56</x:v>
      </x:c>
      <x:c r="E249" s="24" t="n">
        <x:v>44.91</x:v>
      </x:c>
      <x:c r="F249" s="24" t="n">
        <x:v>29.47</x:v>
      </x:c>
      <x:c r="G249" s="24" t="n">
        <x:v>10.33</x:v>
      </x:c>
      <x:c r="H249" s="24" t="n">
        <x:v>46.46</x:v>
      </x:c>
      <x:c r="I249" s="24" t="n">
        <x:v>35.07</x:v>
      </x:c>
      <x:c r="J249" s="24" t="n">
        <x:v>62.5</x:v>
      </x:c>
      <x:c r="K249" s="24" t="n">
        <x:v>10.26</x:v>
      </x:c>
      <x:c r="L249" s="24" t="n">
        <x:v>2.09</x:v>
      </x:c>
      <x:c r="M249" s="24" t="n">
        <x:f>0.35*(100-D249)+0.10*(100-E249)+0.20*(100-I249)+0.15*J249+0.10*G249+0.10*K249+L249</x:f>
        <x:v>51.423</x:v>
      </x:c>
      <x:c r="N249" t="str">
        <x:f>IF(M249&lt;27,"Low",IF(M249&lt;50,"Medium","High"))</x:f>
        <x:v>High</x:v>
      </x:c>
    </x:row>
    <x:row r="250">
      <x:c r="A250" t="str">
        <x:v>ML247</x:v>
      </x:c>
      <x:c r="B250" s="26" t="n">
        <x:v>7</x:v>
      </x:c>
      <x:c r="C250" s="26" t="n">
        <x:v>8</x:v>
      </x:c>
      <x:c r="D250" s="24" t="n">
        <x:v>59.98</x:v>
      </x:c>
      <x:c r="E250" s="24" t="n">
        <x:v>64.75</x:v>
      </x:c>
      <x:c r="F250" s="24" t="n">
        <x:v>52.27</x:v>
      </x:c>
      <x:c r="G250" s="24" t="n">
        <x:v>9.12</x:v>
      </x:c>
      <x:c r="H250" s="24" t="n">
        <x:v>62.73</x:v>
      </x:c>
      <x:c r="I250" s="24" t="n">
        <x:v>54.8</x:v>
      </x:c>
      <x:c r="J250" s="24" t="n">
        <x:v>0</x:v>
      </x:c>
      <x:c r="K250" s="24" t="n">
        <x:v>7.2</x:v>
      </x:c>
      <x:c r="L250" s="24" t="n">
        <x:v>2.27</x:v>
      </x:c>
      <x:c r="M250" s="24" t="n">
        <x:f>0.35*(100-D250)+0.10*(100-E250)+0.20*(100-I250)+0.15*J250+0.10*G250+0.10*K250+L250</x:f>
        <x:v>30.474</x:v>
      </x:c>
      <x:c r="N250" t="str">
        <x:f>IF(M250&lt;27,"Low",IF(M250&lt;50,"Medium","High"))</x:f>
        <x:v>Medium</x:v>
      </x:c>
    </x:row>
    <x:row r="251">
      <x:c r="A251" t="str">
        <x:v>ML248</x:v>
      </x:c>
      <x:c r="B251" s="26" t="n">
        <x:v>6</x:v>
      </x:c>
      <x:c r="C251" s="26" t="n">
        <x:v>7</x:v>
      </x:c>
      <x:c r="D251" s="24" t="n">
        <x:v>54.36</x:v>
      </x:c>
      <x:c r="E251" s="24" t="n">
        <x:v>57.91</x:v>
      </x:c>
      <x:c r="F251" s="24" t="n">
        <x:v>42.05</x:v>
      </x:c>
      <x:c r="G251" s="24" t="n">
        <x:v>9.2</x:v>
      </x:c>
      <x:c r="H251" s="24" t="n">
        <x:v>57.2</x:v>
      </x:c>
      <x:c r="I251" s="24" t="n">
        <x:v>47.18</x:v>
      </x:c>
      <x:c r="J251" s="24" t="n">
        <x:v>28.57</x:v>
      </x:c>
      <x:c r="K251" s="24" t="n">
        <x:v>7.76</x:v>
      </x:c>
      <x:c r="L251" s="24" t="n">
        <x:v>-0.67</x:v>
      </x:c>
      <x:c r="M251" s="24" t="n">
        <x:f>0.35*(100-D251)+0.10*(100-E251)+0.20*(100-I251)+0.15*J251+0.10*G251+0.10*K251+L251</x:f>
        <x:v>36.0585</x:v>
      </x:c>
      <x:c r="N251" t="str">
        <x:f>IF(M251&lt;27,"Low",IF(M251&lt;50,"Medium","High"))</x:f>
        <x:v>Medium</x:v>
      </x:c>
    </x:row>
    <x:row r="252">
      <x:c r="A252" t="str">
        <x:v>ML249</x:v>
      </x:c>
      <x:c r="B252" s="26" t="n">
        <x:v>8</x:v>
      </x:c>
      <x:c r="C252" s="26" t="n">
        <x:v>4</x:v>
      </x:c>
      <x:c r="D252" s="24" t="n">
        <x:v>58.98</x:v>
      </x:c>
      <x:c r="E252" s="24" t="n">
        <x:v>57.03</x:v>
      </x:c>
      <x:c r="F252" s="24" t="n">
        <x:v>43.19</x:v>
      </x:c>
      <x:c r="G252" s="24" t="n">
        <x:v>6.21</x:v>
      </x:c>
      <x:c r="H252" s="24" t="n">
        <x:v>43.81</x:v>
      </x:c>
      <x:c r="I252" s="24" t="n">
        <x:v>38.2</x:v>
      </x:c>
      <x:c r="J252" s="24" t="n">
        <x:v>100</x:v>
      </x:c>
      <x:c r="K252" s="24" t="n">
        <x:v>3.57</x:v>
      </x:c>
      <x:c r="L252" s="24" t="n">
        <x:v>-0.21</x:v>
      </x:c>
      <x:c r="M252" s="24" t="n">
        <x:f>0.35*(100-D252)+0.10*(100-E252)+0.20*(100-I252)+0.15*J252+0.10*G252+0.10*K252+L252</x:f>
        <x:v>46.782</x:v>
      </x:c>
      <x:c r="N252" t="str">
        <x:f>IF(M252&lt;27,"Low",IF(M252&lt;50,"Medium","High"))</x:f>
        <x:v>Medium</x:v>
      </x:c>
    </x:row>
    <x:row r="253">
      <x:c r="A253" t="str">
        <x:v>ML250</x:v>
      </x:c>
      <x:c r="B253" s="26" t="n">
        <x:v>6</x:v>
      </x:c>
      <x:c r="C253" s="26" t="n">
        <x:v>7</x:v>
      </x:c>
      <x:c r="D253" s="24" t="n">
        <x:v>70.38</x:v>
      </x:c>
      <x:c r="E253" s="24" t="n">
        <x:v>67.29</x:v>
      </x:c>
      <x:c r="F253" s="24" t="n">
        <x:v>63.12</x:v>
      </x:c>
      <x:c r="G253" s="24" t="n">
        <x:v>3.17</x:v>
      </x:c>
      <x:c r="H253" s="24" t="n">
        <x:v>60.66</x:v>
      </x:c>
      <x:c r="I253" s="24" t="n">
        <x:v>48.28</x:v>
      </x:c>
      <x:c r="J253" s="24" t="n">
        <x:v>14.29</x:v>
      </x:c>
      <x:c r="K253" s="24" t="n">
        <x:v>9.69</x:v>
      </x:c>
      <x:c r="L253" s="24" t="n">
        <x:v>-2.57</x:v>
      </x:c>
      <x:c r="M253" s="24" t="n">
        <x:f>0.35*(100-D253)+0.10*(100-E253)+0.20*(100-I253)+0.15*J253+0.10*G253+0.10*K253+L253</x:f>
        <x:v>24.8415</x:v>
      </x:c>
      <x:c r="N253" t="str">
        <x:f>IF(M253&lt;27,"Low",IF(M253&lt;50,"Medium","High"))</x:f>
        <x:v>Low</x:v>
      </x:c>
    </x:row>
    <x:row r="254">
      <x:c r="A254" t="str">
        <x:v>ML251</x:v>
      </x:c>
      <x:c r="B254" s="26" t="n">
        <x:v>9</x:v>
      </x:c>
      <x:c r="C254" s="26" t="n">
        <x:v>5</x:v>
      </x:c>
      <x:c r="D254" s="24" t="n">
        <x:v>65.17</x:v>
      </x:c>
      <x:c r="E254" s="24" t="n">
        <x:v>65.85</x:v>
      </x:c>
      <x:c r="F254" s="24" t="n">
        <x:v>58.78</x:v>
      </x:c>
      <x:c r="G254" s="24" t="n">
        <x:v>5.59</x:v>
      </x:c>
      <x:c r="H254" s="24" t="n">
        <x:v>47.97</x:v>
      </x:c>
      <x:c r="I254" s="24" t="n">
        <x:v>28.14</x:v>
      </x:c>
      <x:c r="J254" s="24" t="n">
        <x:v>40</x:v>
      </x:c>
      <x:c r="K254" s="24" t="n">
        <x:v>13.06</x:v>
      </x:c>
      <x:c r="L254" s="24" t="n">
        <x:v>-5.59</x:v>
      </x:c>
      <x:c r="M254" s="24" t="n">
        <x:f>0.35*(100-D254)+0.10*(100-E254)+0.20*(100-I254)+0.15*J254+0.10*G254+0.10*K254+L254</x:f>
        <x:v>32.2525</x:v>
      </x:c>
      <x:c r="N254" t="str">
        <x:f>IF(M254&lt;27,"Low",IF(M254&lt;50,"Medium","High"))</x:f>
        <x:v>Medium</x:v>
      </x:c>
    </x:row>
    <x:row r="255">
      <x:c r="A255" t="str">
        <x:v>ML252</x:v>
      </x:c>
      <x:c r="B255" s="26" t="n">
        <x:v>6</x:v>
      </x:c>
      <x:c r="C255" s="26" t="n">
        <x:v>6</x:v>
      </x:c>
      <x:c r="D255" s="24" t="n">
        <x:v>50.8</x:v>
      </x:c>
      <x:c r="E255" s="24" t="n">
        <x:v>44.98</x:v>
      </x:c>
      <x:c r="F255" s="24" t="n">
        <x:v>29.98</x:v>
      </x:c>
      <x:c r="G255" s="24" t="n">
        <x:v>12.42</x:v>
      </x:c>
      <x:c r="H255" s="24" t="n">
        <x:v>52.34</x:v>
      </x:c>
      <x:c r="I255" s="24" t="n">
        <x:v>44.54</x:v>
      </x:c>
      <x:c r="J255" s="24" t="n">
        <x:v>33.33</x:v>
      </x:c>
      <x:c r="K255" s="24" t="n">
        <x:v>4.33</x:v>
      </x:c>
      <x:c r="L255" s="24" t="n">
        <x:v>-5</x:v>
      </x:c>
      <x:c r="M255" s="24" t="n">
        <x:f>0.35*(100-D255)+0.10*(100-E255)+0.20*(100-I255)+0.15*J255+0.10*G255+0.10*K255+L255</x:f>
        <x:v>35.488499999999995</x:v>
      </x:c>
      <x:c r="N255" t="str">
        <x:f>IF(M255&lt;27,"Low",IF(M255&lt;50,"Medium","High"))</x:f>
        <x:v>Medium</x:v>
      </x:c>
    </x:row>
    <x:row r="256">
      <x:c r="A256" t="str">
        <x:v>ML253</x:v>
      </x:c>
      <x:c r="B256" s="26" t="n">
        <x:v>6</x:v>
      </x:c>
      <x:c r="C256" s="26" t="n">
        <x:v>8</x:v>
      </x:c>
      <x:c r="D256" s="24" t="n">
        <x:v>58.53</x:v>
      </x:c>
      <x:c r="E256" s="24" t="n">
        <x:v>60.21</x:v>
      </x:c>
      <x:c r="F256" s="24" t="n">
        <x:v>48.75</x:v>
      </x:c>
      <x:c r="G256" s="24" t="n">
        <x:v>5.75</x:v>
      </x:c>
      <x:c r="H256" s="24" t="n">
        <x:v>56.03</x:v>
      </x:c>
      <x:c r="I256" s="24" t="n">
        <x:v>32.2</x:v>
      </x:c>
      <x:c r="J256" s="24" t="n">
        <x:v>50</x:v>
      </x:c>
      <x:c r="K256" s="24" t="n">
        <x:v>15.43</x:v>
      </x:c>
      <x:c r="L256" s="24" t="n">
        <x:v>2.67</x:v>
      </x:c>
      <x:c r="M256" s="24" t="n">
        <x:f>0.35*(100-D256)+0.10*(100-E256)+0.20*(100-I256)+0.15*J256+0.10*G256+0.10*K256+L256</x:f>
        <x:v>44.3415</x:v>
      </x:c>
      <x:c r="N256" t="str">
        <x:f>IF(M256&lt;27,"Low",IF(M256&lt;50,"Medium","High"))</x:f>
        <x:v>Medium</x:v>
      </x:c>
    </x:row>
    <x:row r="257">
      <x:c r="A257" t="str">
        <x:v>ML254</x:v>
      </x:c>
      <x:c r="B257" s="26" t="n">
        <x:v>5</x:v>
      </x:c>
      <x:c r="C257" s="26" t="n">
        <x:v>7</x:v>
      </x:c>
      <x:c r="D257" s="24" t="n">
        <x:v>84.37</x:v>
      </x:c>
      <x:c r="E257" s="24" t="n">
        <x:v>82.06</x:v>
      </x:c>
      <x:c r="F257" s="24" t="n">
        <x:v>76.72</x:v>
      </x:c>
      <x:c r="G257" s="24" t="n">
        <x:v>2.77</x:v>
      </x:c>
      <x:c r="H257" s="24" t="n">
        <x:v>77.99</x:v>
      </x:c>
      <x:c r="I257" s="24" t="n">
        <x:v>63.76</x:v>
      </x:c>
      <x:c r="J257" s="24" t="n">
        <x:v>0</x:v>
      </x:c>
      <x:c r="K257" s="24" t="n">
        <x:v>10.4</x:v>
      </x:c>
      <x:c r="L257" s="24" t="n">
        <x:v>4.26</x:v>
      </x:c>
      <x:c r="M257" s="24" t="n">
        <x:f>0.35*(100-D257)+0.10*(100-E257)+0.20*(100-I257)+0.15*J257+0.10*G257+0.10*K257+L257</x:f>
        <x:v>20.0895</x:v>
      </x:c>
      <x:c r="N257" t="str">
        <x:f>IF(M257&lt;27,"Low",IF(M257&lt;50,"Medium","High"))</x:f>
        <x:v>Low</x:v>
      </x:c>
    </x:row>
    <x:row r="258">
      <x:c r="A258" t="str">
        <x:v>ML255</x:v>
      </x:c>
      <x:c r="B258" s="26" t="n">
        <x:v>9</x:v>
      </x:c>
      <x:c r="C258" s="26" t="n">
        <x:v>5</x:v>
      </x:c>
      <x:c r="D258" s="24" t="n">
        <x:v>78.02</x:v>
      </x:c>
      <x:c r="E258" s="24" t="n">
        <x:v>76.63</x:v>
      </x:c>
      <x:c r="F258" s="24" t="n">
        <x:v>69.83</x:v>
      </x:c>
      <x:c r="G258" s="24" t="n">
        <x:v>5.18</x:v>
      </x:c>
      <x:c r="H258" s="24" t="n">
        <x:v>87.05</x:v>
      </x:c>
      <x:c r="I258" s="24" t="n">
        <x:v>66.79</x:v>
      </x:c>
      <x:c r="J258" s="24" t="n">
        <x:v>0</x:v>
      </x:c>
      <x:c r="K258" s="24" t="n">
        <x:v>11.05</x:v>
      </x:c>
      <x:c r="L258" s="24" t="n">
        <x:v>1.89</x:v>
      </x:c>
      <x:c r="M258" s="24" t="n">
        <x:f>0.35*(100-D258)+0.10*(100-E258)+0.20*(100-I258)+0.15*J258+0.10*G258+0.10*K258+L258</x:f>
        <x:v>20.185000000000002</x:v>
      </x:c>
      <x:c r="N258" t="str">
        <x:f>IF(M258&lt;27,"Low",IF(M258&lt;50,"Medium","High"))</x:f>
        <x:v>Low</x:v>
      </x:c>
    </x:row>
    <x:row r="259">
      <x:c r="A259" t="str">
        <x:v>ML256</x:v>
      </x:c>
      <x:c r="B259" s="26" t="n">
        <x:v>6</x:v>
      </x:c>
      <x:c r="C259" s="26" t="n">
        <x:v>8</x:v>
      </x:c>
      <x:c r="D259" s="24" t="n">
        <x:v>48.52</x:v>
      </x:c>
      <x:c r="E259" s="24" t="n">
        <x:v>48.69</x:v>
      </x:c>
      <x:c r="F259" s="24" t="n">
        <x:v>38.76</x:v>
      </x:c>
      <x:c r="G259" s="24" t="n">
        <x:v>8.03</x:v>
      </x:c>
      <x:c r="H259" s="24" t="n">
        <x:v>43.47</x:v>
      </x:c>
      <x:c r="I259" s="24" t="n">
        <x:v>11.58</x:v>
      </x:c>
      <x:c r="J259" s="24" t="n">
        <x:v>50</x:v>
      </x:c>
      <x:c r="K259" s="24" t="n">
        <x:v>16.29</x:v>
      </x:c>
      <x:c r="L259" s="24" t="n">
        <x:v>-3.34</x:v>
      </x:c>
      <x:c r="M259" s="24" t="n">
        <x:f>0.35*(100-D259)+0.10*(100-E259)+0.20*(100-I259)+0.15*J259+0.10*G259+0.10*K259+L259</x:f>
        <x:v>47.425</x:v>
      </x:c>
      <x:c r="N259" t="str">
        <x:f>IF(M259&lt;27,"Low",IF(M259&lt;50,"Medium","High"))</x:f>
        <x:v>Medium</x:v>
      </x:c>
    </x:row>
    <x:row r="260">
      <x:c r="A260" t="str">
        <x:v>ML257</x:v>
      </x:c>
      <x:c r="B260" s="26" t="n">
        <x:v>6</x:v>
      </x:c>
      <x:c r="C260" s="26" t="n">
        <x:v>7</x:v>
      </x:c>
      <x:c r="D260" s="24" t="n">
        <x:v>54.33</x:v>
      </x:c>
      <x:c r="E260" s="24" t="n">
        <x:v>52.21</x:v>
      </x:c>
      <x:c r="F260" s="24" t="n">
        <x:v>44.01</x:v>
      </x:c>
      <x:c r="G260" s="24" t="n">
        <x:v>5.3</x:v>
      </x:c>
      <x:c r="H260" s="24" t="n">
        <x:v>56.64</x:v>
      </x:c>
      <x:c r="I260" s="24" t="n">
        <x:v>41.39</x:v>
      </x:c>
      <x:c r="J260" s="24" t="n">
        <x:v>28.57</x:v>
      </x:c>
      <x:c r="K260" s="24" t="n">
        <x:v>10.35</x:v>
      </x:c>
      <x:c r="L260" s="24" t="n">
        <x:v>2.15</x:v>
      </x:c>
      <x:c r="M260" s="24" t="n">
        <x:f>0.35*(100-D260)+0.10*(100-E260)+0.20*(100-I260)+0.15*J260+0.10*G260+0.10*K260+L260</x:f>
        <x:v>40.486</x:v>
      </x:c>
      <x:c r="N260" t="str">
        <x:f>IF(M260&lt;27,"Low",IF(M260&lt;50,"Medium","High"))</x:f>
        <x:v>Medium</x:v>
      </x:c>
    </x:row>
    <x:row r="261">
      <x:c r="A261" t="str">
        <x:v>ML258</x:v>
      </x:c>
      <x:c r="B261" s="26" t="n">
        <x:v>6</x:v>
      </x:c>
      <x:c r="C261" s="26" t="n">
        <x:v>5</x:v>
      </x:c>
      <x:c r="D261" s="24" t="n">
        <x:v>70.29</x:v>
      </x:c>
      <x:c r="E261" s="24" t="n">
        <x:v>72.67</x:v>
      </x:c>
      <x:c r="F261" s="24" t="n">
        <x:v>52.13</x:v>
      </x:c>
      <x:c r="G261" s="24" t="n">
        <x:v>15.45</x:v>
      </x:c>
      <x:c r="H261" s="24" t="n">
        <x:v>67.25</x:v>
      </x:c>
      <x:c r="I261" s="24" t="n">
        <x:v>53.93</x:v>
      </x:c>
      <x:c r="J261" s="24" t="n">
        <x:v>0</x:v>
      </x:c>
      <x:c r="K261" s="24" t="n">
        <x:v>9.22</x:v>
      </x:c>
      <x:c r="L261" s="24" t="n">
        <x:v>2.57</x:v>
      </x:c>
      <x:c r="M261" s="24" t="n">
        <x:f>0.35*(100-D261)+0.10*(100-E261)+0.20*(100-I261)+0.15*J261+0.10*G261+0.10*K261+L261</x:f>
        <x:v>27.382499999999997</x:v>
      </x:c>
      <x:c r="N261" t="str">
        <x:f>IF(M261&lt;27,"Low",IF(M261&lt;50,"Medium","High"))</x:f>
        <x:v>Medium</x:v>
      </x:c>
    </x:row>
    <x:row r="262">
      <x:c r="A262" t="str">
        <x:v>ML259</x:v>
      </x:c>
      <x:c r="B262" s="26" t="n">
        <x:v>6</x:v>
      </x:c>
      <x:c r="C262" s="26" t="n">
        <x:v>6</x:v>
      </x:c>
      <x:c r="D262" s="24" t="n">
        <x:v>62.53</x:v>
      </x:c>
      <x:c r="E262" s="24" t="n">
        <x:v>60.83</x:v>
      </x:c>
      <x:c r="F262" s="24" t="n">
        <x:v>51.41</x:v>
      </x:c>
      <x:c r="G262" s="24" t="n">
        <x:v>6.83</x:v>
      </x:c>
      <x:c r="H262" s="24" t="n">
        <x:v>62.63</x:v>
      </x:c>
      <x:c r="I262" s="24" t="n">
        <x:v>45.15</x:v>
      </x:c>
      <x:c r="J262" s="24" t="n">
        <x:v>16.67</x:v>
      </x:c>
      <x:c r="K262" s="24" t="n">
        <x:v>12</x:v>
      </x:c>
      <x:c r="L262" s="24" t="n">
        <x:v>-3.67</x:v>
      </x:c>
      <x:c r="M262" s="24" t="n">
        <x:f>0.35*(100-D262)+0.10*(100-E262)+0.20*(100-I262)+0.15*J262+0.10*G262+0.10*K262+L262</x:f>
        <x:v>28.714999999999996</x:v>
      </x:c>
      <x:c r="N262" t="str">
        <x:f>IF(M262&lt;27,"Low",IF(M262&lt;50,"Medium","High"))</x:f>
        <x:v>Medium</x:v>
      </x:c>
    </x:row>
    <x:row r="263">
      <x:c r="A263" t="str">
        <x:v>ML260</x:v>
      </x:c>
      <x:c r="B263" s="26" t="n">
        <x:v>4</x:v>
      </x:c>
      <x:c r="C263" s="26" t="n">
        <x:v>6</x:v>
      </x:c>
      <x:c r="D263" s="24" t="n">
        <x:v>79.6</x:v>
      </x:c>
      <x:c r="E263" s="24" t="n">
        <x:v>79.61</x:v>
      </x:c>
      <x:c r="F263" s="24" t="n">
        <x:v>76.02</x:v>
      </x:c>
      <x:c r="G263" s="24" t="n">
        <x:v>3.48</x:v>
      </x:c>
      <x:c r="H263" s="24" t="n">
        <x:v>75.09</x:v>
      </x:c>
      <x:c r="I263" s="24" t="n">
        <x:v>70.03</x:v>
      </x:c>
      <x:c r="J263" s="24" t="n">
        <x:v>0</x:v>
      </x:c>
      <x:c r="K263" s="24" t="n">
        <x:v>3.92</x:v>
      </x:c>
      <x:c r="L263" s="24" t="n">
        <x:v>-6.1</x:v>
      </x:c>
      <x:c r="M263" s="24" t="n">
        <x:f>0.35*(100-D263)+0.10*(100-E263)+0.20*(100-I263)+0.15*J263+0.10*G263+0.10*K263+L263</x:f>
        <x:v>9.813000000000002</x:v>
      </x:c>
      <x:c r="N263" t="str">
        <x:f>IF(M263&lt;27,"Low",IF(M263&lt;50,"Medium","High"))</x:f>
        <x:v>Low</x:v>
      </x:c>
    </x:row>
    <x:row r="264">
      <x:c r="A264" t="str">
        <x:v>ML261</x:v>
      </x:c>
      <x:c r="B264" s="26" t="n">
        <x:v>4</x:v>
      </x:c>
      <x:c r="C264" s="26" t="n">
        <x:v>6</x:v>
      </x:c>
      <x:c r="D264" s="24" t="n">
        <x:v>88.38</x:v>
      </x:c>
      <x:c r="E264" s="24" t="n">
        <x:v>88.77</x:v>
      </x:c>
      <x:c r="F264" s="24" t="n">
        <x:v>81.45</x:v>
      </x:c>
      <x:c r="G264" s="24" t="n">
        <x:v>6.91</x:v>
      </x:c>
      <x:c r="H264" s="24" t="n">
        <x:v>80.4</x:v>
      </x:c>
      <x:c r="I264" s="24" t="n">
        <x:v>61.8</x:v>
      </x:c>
      <x:c r="J264" s="24" t="n">
        <x:v>0</x:v>
      </x:c>
      <x:c r="K264" s="24" t="n">
        <x:v>12.39</x:v>
      </x:c>
      <x:c r="L264" s="24" t="n">
        <x:v>-0.68</x:v>
      </x:c>
      <x:c r="M264" s="24" t="n">
        <x:f>0.35*(100-D264)+0.10*(100-E264)+0.20*(100-I264)+0.15*J264+0.10*G264+0.10*K264+L264</x:f>
        <x:v>14.080000000000004</x:v>
      </x:c>
      <x:c r="N264" t="str">
        <x:f>IF(M264&lt;27,"Low",IF(M264&lt;50,"Medium","High"))</x:f>
        <x:v>Low</x:v>
      </x:c>
    </x:row>
    <x:row r="265">
      <x:c r="A265" t="str">
        <x:v>ML262</x:v>
      </x:c>
      <x:c r="B265" s="26" t="n">
        <x:v>7</x:v>
      </x:c>
      <x:c r="C265" s="26" t="n">
        <x:v>7</x:v>
      </x:c>
      <x:c r="D265" s="24" t="n">
        <x:v>29.74</x:v>
      </x:c>
      <x:c r="E265" s="24" t="n">
        <x:v>31.05</x:v>
      </x:c>
      <x:c r="F265" s="24" t="n">
        <x:v>17.63</x:v>
      </x:c>
      <x:c r="G265" s="24" t="n">
        <x:v>10.39</x:v>
      </x:c>
      <x:c r="H265" s="24" t="n">
        <x:v>37.42</x:v>
      </x:c>
      <x:c r="I265" s="24" t="n">
        <x:v>25.82</x:v>
      </x:c>
      <x:c r="J265" s="24" t="n">
        <x:v>85.71</x:v>
      </x:c>
      <x:c r="K265" s="24" t="n">
        <x:v>8.64</x:v>
      </x:c>
      <x:c r="L265" s="24" t="n">
        <x:v>-3.93</x:v>
      </x:c>
      <x:c r="M265" s="24" t="n">
        <x:f>0.35*(100-D265)+0.10*(100-E265)+0.20*(100-I265)+0.15*J265+0.10*G265+0.10*K265+L265</x:f>
        <x:v>57.1515</x:v>
      </x:c>
      <x:c r="N265" t="str">
        <x:f>IF(M265&lt;27,"Low",IF(M265&lt;50,"Medium","High"))</x:f>
        <x:v>High</x:v>
      </x:c>
    </x:row>
    <x:row r="266">
      <x:c r="A266" t="str">
        <x:v>ML263</x:v>
      </x:c>
      <x:c r="B266" s="26" t="n">
        <x:v>9</x:v>
      </x:c>
      <x:c r="C266" s="26" t="n">
        <x:v>10</x:v>
      </x:c>
      <x:c r="D266" s="24" t="n">
        <x:v>64.75</x:v>
      </x:c>
      <x:c r="E266" s="24" t="n">
        <x:v>62.46</x:v>
      </x:c>
      <x:c r="F266" s="24" t="n">
        <x:v>52.12</x:v>
      </x:c>
      <x:c r="G266" s="24" t="n">
        <x:v>8.65</x:v>
      </x:c>
      <x:c r="H266" s="24" t="n">
        <x:v>60.71</x:v>
      </x:c>
      <x:c r="I266" s="24" t="n">
        <x:v>40.47</x:v>
      </x:c>
      <x:c r="J266" s="24" t="n">
        <x:v>10</x:v>
      </x:c>
      <x:c r="K266" s="24" t="n">
        <x:v>10.25</x:v>
      </x:c>
      <x:c r="L266" s="24" t="n">
        <x:v>5.15</x:v>
      </x:c>
      <x:c r="M266" s="24" t="n">
        <x:f>0.35*(100-D266)+0.10*(100-E266)+0.20*(100-I266)+0.15*J266+0.10*G266+0.10*K266+L266</x:f>
        <x:v>36.5375</x:v>
      </x:c>
      <x:c r="N266" t="str">
        <x:f>IF(M266&lt;27,"Low",IF(M266&lt;50,"Medium","High"))</x:f>
        <x:v>Medium</x:v>
      </x:c>
    </x:row>
    <x:row r="267">
      <x:c r="A267" t="str">
        <x:v>ML264</x:v>
      </x:c>
      <x:c r="B267" s="26" t="n">
        <x:v>9</x:v>
      </x:c>
      <x:c r="C267" s="26" t="n">
        <x:v>9</x:v>
      </x:c>
      <x:c r="D267" s="24" t="n">
        <x:v>79.66</x:v>
      </x:c>
      <x:c r="E267" s="24" t="n">
        <x:v>81.11</x:v>
      </x:c>
      <x:c r="F267" s="24" t="n">
        <x:v>71.01</x:v>
      </x:c>
      <x:c r="G267" s="24" t="n">
        <x:v>6.78</x:v>
      </x:c>
      <x:c r="H267" s="24" t="n">
        <x:v>75.76</x:v>
      </x:c>
      <x:c r="I267" s="24" t="n">
        <x:v>52.41</x:v>
      </x:c>
      <x:c r="J267" s="24" t="n">
        <x:v>0</x:v>
      </x:c>
      <x:c r="K267" s="24" t="n">
        <x:v>9.97</x:v>
      </x:c>
      <x:c r="L267" s="24" t="n">
        <x:v>2.49</x:v>
      </x:c>
      <x:c r="M267" s="24" t="n">
        <x:f>0.35*(100-D267)+0.10*(100-E267)+0.20*(100-I267)+0.15*J267+0.10*G267+0.10*K267+L267</x:f>
        <x:v>22.691000000000003</x:v>
      </x:c>
      <x:c r="N267" t="str">
        <x:f>IF(M267&lt;27,"Low",IF(M267&lt;50,"Medium","High"))</x:f>
        <x:v>Low</x:v>
      </x:c>
    </x:row>
    <x:row r="268">
      <x:c r="A268" t="str">
        <x:v>ML265</x:v>
      </x:c>
      <x:c r="B268" s="26" t="n">
        <x:v>7</x:v>
      </x:c>
      <x:c r="C268" s="26" t="n">
        <x:v>9</x:v>
      </x:c>
      <x:c r="D268" s="24" t="n">
        <x:v>54.47</x:v>
      </x:c>
      <x:c r="E268" s="24" t="n">
        <x:v>53.04</x:v>
      </x:c>
      <x:c r="F268" s="24" t="n">
        <x:v>42.95</x:v>
      </x:c>
      <x:c r="G268" s="24" t="n">
        <x:v>6.09</x:v>
      </x:c>
      <x:c r="H268" s="24" t="n">
        <x:v>46.2</x:v>
      </x:c>
      <x:c r="I268" s="24" t="n">
        <x:v>26.26</x:v>
      </x:c>
      <x:c r="J268" s="24" t="n">
        <x:v>66.67</x:v>
      </x:c>
      <x:c r="K268" s="24" t="n">
        <x:v>9.49</x:v>
      </x:c>
      <x:c r="L268" s="24" t="n">
        <x:v>-4.53</x:v>
      </x:c>
      <x:c r="M268" s="24" t="n">
        <x:f>0.35*(100-D268)+0.10*(100-E268)+0.20*(100-I268)+0.15*J268+0.10*G268+0.10*K268+L268</x:f>
        <x:v>42.408</x:v>
      </x:c>
      <x:c r="N268" t="str">
        <x:f>IF(M268&lt;27,"Low",IF(M268&lt;50,"Medium","High"))</x:f>
        <x:v>Medium</x:v>
      </x:c>
    </x:row>
    <x:row r="269">
      <x:c r="A269" t="str">
        <x:v>ML266</x:v>
      </x:c>
      <x:c r="B269" s="26" t="n">
        <x:v>7</x:v>
      </x:c>
      <x:c r="C269" s="26" t="n">
        <x:v>8</x:v>
      </x:c>
      <x:c r="D269" s="24" t="n">
        <x:v>89.31</x:v>
      </x:c>
      <x:c r="E269" s="24" t="n">
        <x:v>91.99</x:v>
      </x:c>
      <x:c r="F269" s="24" t="n">
        <x:v>71.56</x:v>
      </x:c>
      <x:c r="G269" s="24" t="n">
        <x:v>9.74</x:v>
      </x:c>
      <x:c r="H269" s="24" t="n">
        <x:v>93.25</x:v>
      </x:c>
      <x:c r="I269" s="24" t="n">
        <x:v>79.97</x:v>
      </x:c>
      <x:c r="J269" s="24" t="n">
        <x:v>0</x:v>
      </x:c>
      <x:c r="K269" s="24" t="n">
        <x:v>6.5</x:v>
      </x:c>
      <x:c r="L269" s="24" t="n">
        <x:v>5.26</x:v>
      </x:c>
      <x:c r="M269" s="24" t="n">
        <x:f>0.35*(100-D269)+0.10*(100-E269)+0.20*(100-I269)+0.15*J269+0.10*G269+0.10*K269+L269</x:f>
        <x:v>15.432500000000001</x:v>
      </x:c>
      <x:c r="N269" t="str">
        <x:f>IF(M269&lt;27,"Low",IF(M269&lt;50,"Medium","High"))</x:f>
        <x:v>Low</x:v>
      </x:c>
    </x:row>
    <x:row r="270">
      <x:c r="A270" t="str">
        <x:v>ML267</x:v>
      </x:c>
      <x:c r="B270" s="26" t="n">
        <x:v>6</x:v>
      </x:c>
      <x:c r="C270" s="26" t="n">
        <x:v>9</x:v>
      </x:c>
      <x:c r="D270" s="24" t="n">
        <x:v>77.52</x:v>
      </x:c>
      <x:c r="E270" s="24" t="n">
        <x:v>78.11</x:v>
      </x:c>
      <x:c r="F270" s="24" t="n">
        <x:v>67.69</x:v>
      </x:c>
      <x:c r="G270" s="24" t="n">
        <x:v>9.05</x:v>
      </x:c>
      <x:c r="H270" s="24" t="n">
        <x:v>74.3</x:v>
      </x:c>
      <x:c r="I270" s="24" t="n">
        <x:v>42.93</x:v>
      </x:c>
      <x:c r="J270" s="24" t="n">
        <x:v>11.11</x:v>
      </x:c>
      <x:c r="K270" s="24" t="n">
        <x:v>19.52</x:v>
      </x:c>
      <x:c r="L270" s="24" t="n">
        <x:v>1.03</x:v>
      </x:c>
      <x:c r="M270" s="24" t="n">
        <x:f>0.35*(100-D270)+0.10*(100-E270)+0.20*(100-I270)+0.15*J270+0.10*G270+0.10*K270+L270</x:f>
        <x:v>27.024500000000003</x:v>
      </x:c>
      <x:c r="N270" t="str">
        <x:f>IF(M270&lt;27,"Low",IF(M270&lt;50,"Medium","High"))</x:f>
        <x:v>Medium</x:v>
      </x:c>
    </x:row>
    <x:row r="271">
      <x:c r="A271" t="str">
        <x:v>ML268</x:v>
      </x:c>
      <x:c r="B271" s="26" t="n">
        <x:v>6</x:v>
      </x:c>
      <x:c r="C271" s="26" t="n">
        <x:v>10</x:v>
      </x:c>
      <x:c r="D271" s="24" t="n">
        <x:v>74.19</x:v>
      </x:c>
      <x:c r="E271" s="24" t="n">
        <x:v>77.03</x:v>
      </x:c>
      <x:c r="F271" s="24" t="n">
        <x:v>60.63</x:v>
      </x:c>
      <x:c r="G271" s="24" t="n">
        <x:v>9.33</x:v>
      </x:c>
      <x:c r="H271" s="24" t="n">
        <x:v>71.86</x:v>
      </x:c>
      <x:c r="I271" s="24" t="n">
        <x:v>46.29</x:v>
      </x:c>
      <x:c r="J271" s="24" t="n">
        <x:v>10</x:v>
      </x:c>
      <x:c r="K271" s="24" t="n">
        <x:v>11.21</x:v>
      </x:c>
      <x:c r="L271" s="24" t="n">
        <x:v>2.7</x:v>
      </x:c>
      <x:c r="M271" s="24" t="n">
        <x:f>0.35*(100-D271)+0.10*(100-E271)+0.20*(100-I271)+0.15*J271+0.10*G271+0.10*K271+L271</x:f>
        <x:v>28.3265</x:v>
      </x:c>
      <x:c r="N271" t="str">
        <x:f>IF(M271&lt;27,"Low",IF(M271&lt;50,"Medium","High"))</x:f>
        <x:v>Medium</x:v>
      </x:c>
    </x:row>
    <x:row r="272">
      <x:c r="A272" t="str">
        <x:v>ML269</x:v>
      </x:c>
      <x:c r="B272" s="26" t="n">
        <x:v>8</x:v>
      </x:c>
      <x:c r="C272" s="26" t="n">
        <x:v>8</x:v>
      </x:c>
      <x:c r="D272" s="24" t="n">
        <x:v>73.07</x:v>
      </x:c>
      <x:c r="E272" s="24" t="n">
        <x:v>73.34</x:v>
      </x:c>
      <x:c r="F272" s="24" t="n">
        <x:v>60.66</x:v>
      </x:c>
      <x:c r="G272" s="24" t="n">
        <x:v>5.74</x:v>
      </x:c>
      <x:c r="H272" s="24" t="n">
        <x:v>71.48</x:v>
      </x:c>
      <x:c r="I272" s="24" t="n">
        <x:v>46.28</x:v>
      </x:c>
      <x:c r="J272" s="24" t="n">
        <x:v>12.5</x:v>
      </x:c>
      <x:c r="K272" s="24" t="n">
        <x:v>12.23</x:v>
      </x:c>
      <x:c r="L272" s="24" t="n">
        <x:v>0.75</x:v>
      </x:c>
      <x:c r="M272" s="24" t="n">
        <x:f>0.35*(100-D272)+0.10*(100-E272)+0.20*(100-I272)+0.15*J272+0.10*G272+0.10*K272+L272</x:f>
        <x:v>27.257500000000004</x:v>
      </x:c>
      <x:c r="N272" t="str">
        <x:f>IF(M272&lt;27,"Low",IF(M272&lt;50,"Medium","High"))</x:f>
        <x:v>Medium</x:v>
      </x:c>
    </x:row>
    <x:row r="273">
      <x:c r="A273" t="str">
        <x:v>ML270</x:v>
      </x:c>
      <x:c r="B273" s="26" t="n">
        <x:v>4</x:v>
      </x:c>
      <x:c r="C273" s="26" t="n">
        <x:v>7</x:v>
      </x:c>
      <x:c r="D273" s="24" t="n">
        <x:v>80.94</x:v>
      </x:c>
      <x:c r="E273" s="24" t="n">
        <x:v>81.31</x:v>
      </x:c>
      <x:c r="F273" s="24" t="n">
        <x:v>73.34</x:v>
      </x:c>
      <x:c r="G273" s="24" t="n">
        <x:v>4.76</x:v>
      </x:c>
      <x:c r="H273" s="24" t="n">
        <x:v>83.4</x:v>
      </x:c>
      <x:c r="I273" s="24" t="n">
        <x:v>64.16</x:v>
      </x:c>
      <x:c r="J273" s="24" t="n">
        <x:v>0</x:v>
      </x:c>
      <x:c r="K273" s="24" t="n">
        <x:v>10.56</x:v>
      </x:c>
      <x:c r="L273" s="24" t="n">
        <x:v>1.15</x:v>
      </x:c>
      <x:c r="M273" s="24" t="n">
        <x:f>0.35*(100-D273)+0.10*(100-E273)+0.20*(100-I273)+0.15*J273+0.10*G273+0.10*K273+L273</x:f>
        <x:v>18.39</x:v>
      </x:c>
      <x:c r="N273" t="str">
        <x:f>IF(M273&lt;27,"Low",IF(M273&lt;50,"Medium","High"))</x:f>
        <x:v>Low</x:v>
      </x:c>
    </x:row>
    <x:row r="274">
      <x:c r="A274" t="str">
        <x:v>ML271</x:v>
      </x:c>
      <x:c r="B274" s="26" t="n">
        <x:v>6</x:v>
      </x:c>
      <x:c r="C274" s="26" t="n">
        <x:v>10</x:v>
      </x:c>
      <x:c r="D274" s="24" t="n">
        <x:v>74.31</x:v>
      </x:c>
      <x:c r="E274" s="24" t="n">
        <x:v>72.39</x:v>
      </x:c>
      <x:c r="F274" s="24" t="n">
        <x:v>62.1</x:v>
      </x:c>
      <x:c r="G274" s="24" t="n">
        <x:v>7.21</x:v>
      </x:c>
      <x:c r="H274" s="24" t="n">
        <x:v>76.74</x:v>
      </x:c>
      <x:c r="I274" s="24" t="n">
        <x:v>62.89</x:v>
      </x:c>
      <x:c r="J274" s="24" t="n">
        <x:v>0</x:v>
      </x:c>
      <x:c r="K274" s="24" t="n">
        <x:v>7.96</x:v>
      </x:c>
      <x:c r="L274" s="24" t="n">
        <x:v>0.3</x:v>
      </x:c>
      <x:c r="M274" s="24" t="n">
        <x:f>0.35*(100-D274)+0.10*(100-E274)+0.20*(100-I274)+0.15*J274+0.10*G274+0.10*K274+L274</x:f>
        <x:v>20.9915</x:v>
      </x:c>
      <x:c r="N274" t="str">
        <x:f>IF(M274&lt;27,"Low",IF(M274&lt;50,"Medium","High"))</x:f>
        <x:v>Low</x:v>
      </x:c>
    </x:row>
    <x:row r="275">
      <x:c r="A275" t="str">
        <x:v>ML272</x:v>
      </x:c>
      <x:c r="B275" s="26" t="n">
        <x:v>9</x:v>
      </x:c>
      <x:c r="C275" s="26" t="n">
        <x:v>7</x:v>
      </x:c>
      <x:c r="D275" s="24" t="n">
        <x:v>67.58</x:v>
      </x:c>
      <x:c r="E275" s="24" t="n">
        <x:v>71.87</x:v>
      </x:c>
      <x:c r="F275" s="24" t="n">
        <x:v>60.85</x:v>
      </x:c>
      <x:c r="G275" s="24" t="n">
        <x:v>6.1</x:v>
      </x:c>
      <x:c r="H275" s="24" t="n">
        <x:v>67.71</x:v>
      </x:c>
      <x:c r="I275" s="24" t="n">
        <x:v>44.48</x:v>
      </x:c>
      <x:c r="J275" s="24" t="n">
        <x:v>14.29</x:v>
      </x:c>
      <x:c r="K275" s="24" t="n">
        <x:v>13</x:v>
      </x:c>
      <x:c r="L275" s="24" t="n">
        <x:v>0.01</x:v>
      </x:c>
      <x:c r="M275" s="24" t="n">
        <x:f>0.35*(100-D275)+0.10*(100-E275)+0.20*(100-I275)+0.15*J275+0.10*G275+0.10*K275+L275</x:f>
        <x:v>29.327500000000004</x:v>
      </x:c>
      <x:c r="N275" t="str">
        <x:f>IF(M275&lt;27,"Low",IF(M275&lt;50,"Medium","High"))</x:f>
        <x:v>Medium</x:v>
      </x:c>
    </x:row>
    <x:row r="276">
      <x:c r="A276" t="str">
        <x:v>ML273</x:v>
      </x:c>
      <x:c r="B276" s="26" t="n">
        <x:v>8</x:v>
      </x:c>
      <x:c r="C276" s="26" t="n">
        <x:v>7</x:v>
      </x:c>
      <x:c r="D276" s="24" t="n">
        <x:v>93.23</x:v>
      </x:c>
      <x:c r="E276" s="24" t="n">
        <x:v>94</x:v>
      </x:c>
      <x:c r="F276" s="24" t="n">
        <x:v>85.79</x:v>
      </x:c>
      <x:c r="G276" s="24" t="n">
        <x:v>4.63</x:v>
      </x:c>
      <x:c r="H276" s="24" t="n">
        <x:v>95.9</x:v>
      </x:c>
      <x:c r="I276" s="24" t="n">
        <x:v>88.83</x:v>
      </x:c>
      <x:c r="J276" s="24" t="n">
        <x:v>0</x:v>
      </x:c>
      <x:c r="K276" s="24" t="n">
        <x:v>3.41</x:v>
      </x:c>
      <x:c r="L276" s="24" t="n">
        <x:v>7.63</x:v>
      </x:c>
      <x:c r="M276" s="24" t="n">
        <x:f>0.35*(100-D276)+0.10*(100-E276)+0.20*(100-I276)+0.15*J276+0.10*G276+0.10*K276+L276</x:f>
        <x:v>13.6375</x:v>
      </x:c>
      <x:c r="N276" t="str">
        <x:f>IF(M276&lt;27,"Low",IF(M276&lt;50,"Medium","High"))</x:f>
        <x:v>Low</x:v>
      </x:c>
    </x:row>
    <x:row r="277">
      <x:c r="A277" t="str">
        <x:v>ML274</x:v>
      </x:c>
      <x:c r="B277" s="26" t="n">
        <x:v>5</x:v>
      </x:c>
      <x:c r="C277" s="26" t="n">
        <x:v>4</x:v>
      </x:c>
      <x:c r="D277" s="24" t="n">
        <x:v>84.17</x:v>
      </x:c>
      <x:c r="E277" s="24" t="n">
        <x:v>82.7</x:v>
      </x:c>
      <x:c r="F277" s="24" t="n">
        <x:v>76.8</x:v>
      </x:c>
      <x:c r="G277" s="24" t="n">
        <x:v>4.37</x:v>
      </x:c>
      <x:c r="H277" s="24" t="n">
        <x:v>76.77</x:v>
      </x:c>
      <x:c r="I277" s="24" t="n">
        <x:v>69.71</x:v>
      </x:c>
      <x:c r="J277" s="24" t="n">
        <x:v>0</x:v>
      </x:c>
      <x:c r="K277" s="24" t="n">
        <x:v>5.61</x:v>
      </x:c>
      <x:c r="L277" s="24" t="n">
        <x:v>-3.38</x:v>
      </x:c>
      <x:c r="M277" s="24" t="n">
        <x:f>0.35*(100-D277)+0.10*(100-E277)+0.20*(100-I277)+0.15*J277+0.10*G277+0.10*K277+L277</x:f>
        <x:v>10.9465</x:v>
      </x:c>
      <x:c r="N277" t="str">
        <x:f>IF(M277&lt;27,"Low",IF(M277&lt;50,"Medium","High"))</x:f>
        <x:v>Low</x:v>
      </x:c>
    </x:row>
    <x:row r="278">
      <x:c r="A278" t="str">
        <x:v>ML275</x:v>
      </x:c>
      <x:c r="B278" s="26" t="n">
        <x:v>4</x:v>
      </x:c>
      <x:c r="C278" s="26" t="n">
        <x:v>5</x:v>
      </x:c>
      <x:c r="D278" s="24" t="n">
        <x:v>60.74</x:v>
      </x:c>
      <x:c r="E278" s="24" t="n">
        <x:v>63.69</x:v>
      </x:c>
      <x:c r="F278" s="24" t="n">
        <x:v>56.13</x:v>
      </x:c>
      <x:c r="G278" s="24" t="n">
        <x:v>8.43</x:v>
      </x:c>
      <x:c r="H278" s="24" t="n">
        <x:v>68.5</x:v>
      </x:c>
      <x:c r="I278" s="24" t="n">
        <x:v>32.95</x:v>
      </x:c>
      <x:c r="J278" s="24" t="n">
        <x:v>40</x:v>
      </x:c>
      <x:c r="K278" s="24" t="n">
        <x:v>24.11</x:v>
      </x:c>
      <x:c r="L278" s="24" t="n">
        <x:v>-2.64</x:v>
      </x:c>
      <x:c r="M278" s="24" t="n">
        <x:f>0.35*(100-D278)+0.10*(100-E278)+0.20*(100-I278)+0.15*J278+0.10*G278+0.10*K278+L278</x:f>
        <x:v>37.396</x:v>
      </x:c>
      <x:c r="N278" t="str">
        <x:f>IF(M278&lt;27,"Low",IF(M278&lt;50,"Medium","High"))</x:f>
        <x:v>Medium</x:v>
      </x:c>
    </x:row>
    <x:row r="279">
      <x:c r="A279" t="str">
        <x:v>ML276</x:v>
      </x:c>
      <x:c r="B279" s="26" t="n">
        <x:v>8</x:v>
      </x:c>
      <x:c r="C279" s="26" t="n">
        <x:v>8</x:v>
      </x:c>
      <x:c r="D279" s="24" t="n">
        <x:v>57.05</x:v>
      </x:c>
      <x:c r="E279" s="24" t="n">
        <x:v>54.98</x:v>
      </x:c>
      <x:c r="F279" s="24" t="n">
        <x:v>52.77</x:v>
      </x:c>
      <x:c r="G279" s="24" t="n">
        <x:v>1.92</x:v>
      </x:c>
      <x:c r="H279" s="24" t="n">
        <x:v>57.3</x:v>
      </x:c>
      <x:c r="I279" s="24" t="n">
        <x:v>38.51</x:v>
      </x:c>
      <x:c r="J279" s="24" t="n">
        <x:v>37.5</x:v>
      </x:c>
      <x:c r="K279" s="24" t="n">
        <x:v>16</x:v>
      </x:c>
      <x:c r="L279" s="24" t="n">
        <x:v>4.58</x:v>
      </x:c>
      <x:c r="M279" s="24" t="n">
        <x:f>0.35*(100-D279)+0.10*(100-E279)+0.20*(100-I279)+0.15*J279+0.10*G279+0.10*K279+L279</x:f>
        <x:v>43.8295</x:v>
      </x:c>
      <x:c r="N279" t="str">
        <x:f>IF(M279&lt;27,"Low",IF(M279&lt;50,"Medium","High"))</x:f>
        <x:v>Medium</x:v>
      </x:c>
    </x:row>
    <x:row r="280">
      <x:c r="A280" t="str">
        <x:v>ML277</x:v>
      </x:c>
      <x:c r="B280" s="26" t="n">
        <x:v>7</x:v>
      </x:c>
      <x:c r="C280" s="26" t="n">
        <x:v>7</x:v>
      </x:c>
      <x:c r="D280" s="24" t="n">
        <x:v>83.67</x:v>
      </x:c>
      <x:c r="E280" s="24" t="n">
        <x:v>85.22</x:v>
      </x:c>
      <x:c r="F280" s="24" t="n">
        <x:v>72.98</x:v>
      </x:c>
      <x:c r="G280" s="24" t="n">
        <x:v>9.62</x:v>
      </x:c>
      <x:c r="H280" s="24" t="n">
        <x:v>90.49</x:v>
      </x:c>
      <x:c r="I280" s="24" t="n">
        <x:v>83.38</x:v>
      </x:c>
      <x:c r="J280" s="24" t="n">
        <x:v>0</x:v>
      </x:c>
      <x:c r="K280" s="24" t="n">
        <x:v>4.83</x:v>
      </x:c>
      <x:c r="L280" s="24" t="n">
        <x:v>-0.94</x:v>
      </x:c>
      <x:c r="M280" s="24" t="n">
        <x:f>0.35*(100-D280)+0.10*(100-E280)+0.20*(100-I280)+0.15*J280+0.10*G280+0.10*K280+L280</x:f>
        <x:v>11.0225</x:v>
      </x:c>
      <x:c r="N280" t="str">
        <x:f>IF(M280&lt;27,"Low",IF(M280&lt;50,"Medium","High"))</x:f>
        <x:v>Low</x:v>
      </x:c>
    </x:row>
    <x:row r="281">
      <x:c r="A281" t="str">
        <x:v>ML278</x:v>
      </x:c>
      <x:c r="B281" s="26" t="n">
        <x:v>5</x:v>
      </x:c>
      <x:c r="C281" s="26" t="n">
        <x:v>6</x:v>
      </x:c>
      <x:c r="D281" s="24" t="n">
        <x:v>60.44</x:v>
      </x:c>
      <x:c r="E281" s="24" t="n">
        <x:v>60.79</x:v>
      </x:c>
      <x:c r="F281" s="24" t="n">
        <x:v>54.25</x:v>
      </x:c>
      <x:c r="G281" s="24" t="n">
        <x:v>7.34</x:v>
      </x:c>
      <x:c r="H281" s="24" t="n">
        <x:v>64.54</x:v>
      </x:c>
      <x:c r="I281" s="24" t="n">
        <x:v>59.34</x:v>
      </x:c>
      <x:c r="J281" s="24" t="n">
        <x:v>0</x:v>
      </x:c>
      <x:c r="K281" s="24" t="n">
        <x:v>2.68</x:v>
      </x:c>
      <x:c r="L281" s="24" t="n">
        <x:v>0.28</x:v>
      </x:c>
      <x:c r="M281" s="24" t="n">
        <x:f>0.35*(100-D281)+0.10*(100-E281)+0.20*(100-I281)+0.15*J281+0.10*G281+0.10*K281+L281</x:f>
        <x:v>27.181000000000004</x:v>
      </x:c>
      <x:c r="N281" t="str">
        <x:f>IF(M281&lt;27,"Low",IF(M281&lt;50,"Medium","High"))</x:f>
        <x:v>Medium</x:v>
      </x:c>
    </x:row>
    <x:row r="282">
      <x:c r="A282" t="str">
        <x:v>ML279</x:v>
      </x:c>
      <x:c r="B282" s="26" t="n">
        <x:v>9</x:v>
      </x:c>
      <x:c r="C282" s="26" t="n">
        <x:v>5</x:v>
      </x:c>
      <x:c r="D282" s="24" t="n">
        <x:v>42.39</x:v>
      </x:c>
      <x:c r="E282" s="24" t="n">
        <x:v>44.35</x:v>
      </x:c>
      <x:c r="F282" s="24" t="n">
        <x:v>14.29</x:v>
      </x:c>
      <x:c r="G282" s="24" t="n">
        <x:v>13.42</x:v>
      </x:c>
      <x:c r="H282" s="24" t="n">
        <x:v>39.86</x:v>
      </x:c>
      <x:c r="I282" s="24" t="n">
        <x:v>26.8</x:v>
      </x:c>
      <x:c r="J282" s="24" t="n">
        <x:v>80</x:v>
      </x:c>
      <x:c r="K282" s="24" t="n">
        <x:v>8.58</x:v>
      </x:c>
      <x:c r="L282" s="24" t="n">
        <x:v>0.03</x:v>
      </x:c>
      <x:c r="M282" s="24" t="n">
        <x:f>0.35*(100-D282)+0.10*(100-E282)+0.20*(100-I282)+0.15*J282+0.10*G282+0.10*K282+L282</x:f>
        <x:v>54.598499999999994</x:v>
      </x:c>
      <x:c r="N282" t="str">
        <x:f>IF(M282&lt;27,"Low",IF(M282&lt;50,"Medium","High"))</x:f>
        <x:v>High</x:v>
      </x:c>
    </x:row>
    <x:row r="283">
      <x:c r="A283" t="str">
        <x:v>ML280</x:v>
      </x:c>
      <x:c r="B283" s="26" t="n">
        <x:v>5</x:v>
      </x:c>
      <x:c r="C283" s="26" t="n">
        <x:v>8</x:v>
      </x:c>
      <x:c r="D283" s="24" t="n">
        <x:v>54.78</x:v>
      </x:c>
      <x:c r="E283" s="24" t="n">
        <x:v>53.59</x:v>
      </x:c>
      <x:c r="F283" s="24" t="n">
        <x:v>51</x:v>
      </x:c>
      <x:c r="G283" s="24" t="n">
        <x:v>3.5</x:v>
      </x:c>
      <x:c r="H283" s="24" t="n">
        <x:v>50.64</x:v>
      </x:c>
      <x:c r="I283" s="24" t="n">
        <x:v>33.8</x:v>
      </x:c>
      <x:c r="J283" s="24" t="n">
        <x:v>50</x:v>
      </x:c>
      <x:c r="K283" s="24" t="n">
        <x:v>9.72</x:v>
      </x:c>
      <x:c r="L283" s="24" t="n">
        <x:v>-4.15</x:v>
      </x:c>
      <x:c r="M283" s="24" t="n">
        <x:f>0.35*(100-D283)+0.10*(100-E283)+0.20*(100-I283)+0.15*J283+0.10*G283+0.10*K283+L283</x:f>
        <x:v>38.38</x:v>
      </x:c>
      <x:c r="N283" t="str">
        <x:f>IF(M283&lt;27,"Low",IF(M283&lt;50,"Medium","High"))</x:f>
        <x:v>Medium</x:v>
      </x:c>
    </x:row>
    <x:row r="284">
      <x:c r="A284" t="str">
        <x:v>ML281</x:v>
      </x:c>
      <x:c r="B284" s="26" t="n">
        <x:v>7</x:v>
      </x:c>
      <x:c r="C284" s="26" t="n">
        <x:v>6</x:v>
      </x:c>
      <x:c r="D284" s="24" t="n">
        <x:v>89.65</x:v>
      </x:c>
      <x:c r="E284" s="24" t="n">
        <x:v>87.28</x:v>
      </x:c>
      <x:c r="F284" s="24" t="n">
        <x:v>79.15</x:v>
      </x:c>
      <x:c r="G284" s="24" t="n">
        <x:v>5.13</x:v>
      </x:c>
      <x:c r="H284" s="24" t="n">
        <x:v>74.38</x:v>
      </x:c>
      <x:c r="I284" s="24" t="n">
        <x:v>64.41</x:v>
      </x:c>
      <x:c r="J284" s="24" t="n">
        <x:v>0</x:v>
      </x:c>
      <x:c r="K284" s="24" t="n">
        <x:v>7.03</x:v>
      </x:c>
      <x:c r="L284" s="24" t="n">
        <x:v>-1.68</x:v>
      </x:c>
      <x:c r="M284" s="24" t="n">
        <x:f>0.35*(100-D284)+0.10*(100-E284)+0.20*(100-I284)+0.15*J284+0.10*G284+0.10*K284+L284</x:f>
        <x:v>11.548499999999999</x:v>
      </x:c>
      <x:c r="N284" t="str">
        <x:f>IF(M284&lt;27,"Low",IF(M284&lt;50,"Medium","High"))</x:f>
        <x:v>Low</x:v>
      </x:c>
    </x:row>
    <x:row r="285">
      <x:c r="A285" t="str">
        <x:v>ML282</x:v>
      </x:c>
      <x:c r="B285" s="26" t="n">
        <x:v>9</x:v>
      </x:c>
      <x:c r="C285" s="26" t="n">
        <x:v>10</x:v>
      </x:c>
      <x:c r="D285" s="24" t="n">
        <x:v>85.77</x:v>
      </x:c>
      <x:c r="E285" s="24" t="n">
        <x:v>88.51</x:v>
      </x:c>
      <x:c r="F285" s="24" t="n">
        <x:v>80.46</x:v>
      </x:c>
      <x:c r="G285" s="24" t="n">
        <x:v>6.21</x:v>
      </x:c>
      <x:c r="H285" s="24" t="n">
        <x:v>77.16</x:v>
      </x:c>
      <x:c r="I285" s="24" t="n">
        <x:v>48.33</x:v>
      </x:c>
      <x:c r="J285" s="24" t="n">
        <x:v>10</x:v>
      </x:c>
      <x:c r="K285" s="24" t="n">
        <x:v>13.52</x:v>
      </x:c>
      <x:c r="L285" s="24" t="n">
        <x:v>5.32</x:v>
      </x:c>
      <x:c r="M285" s="24" t="n">
        <x:f>0.35*(100-D285)+0.10*(100-E285)+0.20*(100-I285)+0.15*J285+0.10*G285+0.10*K285+L285</x:f>
        <x:v>25.256500000000003</x:v>
      </x:c>
      <x:c r="N285" t="str">
        <x:f>IF(M285&lt;27,"Low",IF(M285&lt;50,"Medium","High"))</x:f>
        <x:v>Low</x:v>
      </x:c>
    </x:row>
    <x:row r="286">
      <x:c r="A286" t="str">
        <x:v>ML283</x:v>
      </x:c>
      <x:c r="B286" s="26" t="n">
        <x:v>4</x:v>
      </x:c>
      <x:c r="C286" s="26" t="n">
        <x:v>7</x:v>
      </x:c>
      <x:c r="D286" s="24" t="n">
        <x:v>95.35</x:v>
      </x:c>
      <x:c r="E286" s="24" t="n">
        <x:v>91.14</x:v>
      </x:c>
      <x:c r="F286" s="24" t="n">
        <x:v>86.12</x:v>
      </x:c>
      <x:c r="G286" s="24" t="n">
        <x:v>2.94</x:v>
      </x:c>
      <x:c r="H286" s="24" t="n">
        <x:v>83.48</x:v>
      </x:c>
      <x:c r="I286" s="24" t="n">
        <x:v>63.46</x:v>
      </x:c>
      <x:c r="J286" s="24" t="n">
        <x:v>0</x:v>
      </x:c>
      <x:c r="K286" s="24" t="n">
        <x:v>9.85</x:v>
      </x:c>
      <x:c r="L286" s="24" t="n">
        <x:v>-1.57</x:v>
      </x:c>
      <x:c r="M286" s="24" t="n">
        <x:f>0.35*(100-D286)+0.10*(100-E286)+0.20*(100-I286)+0.15*J286+0.10*G286+0.10*K286+L286</x:f>
        <x:v>9.530500000000002</x:v>
      </x:c>
      <x:c r="N286" t="str">
        <x:f>IF(M286&lt;27,"Low",IF(M286&lt;50,"Medium","High"))</x:f>
        <x:v>Low</x:v>
      </x:c>
    </x:row>
    <x:row r="287">
      <x:c r="A287" t="str">
        <x:v>ML284</x:v>
      </x:c>
      <x:c r="B287" s="26" t="n">
        <x:v>8</x:v>
      </x:c>
      <x:c r="C287" s="26" t="n">
        <x:v>5</x:v>
      </x:c>
      <x:c r="D287" s="24" t="n">
        <x:v>79.48</x:v>
      </x:c>
      <x:c r="E287" s="24" t="n">
        <x:v>81.02</x:v>
      </x:c>
      <x:c r="F287" s="24" t="n">
        <x:v>66.4</x:v>
      </x:c>
      <x:c r="G287" s="24" t="n">
        <x:v>8.44</x:v>
      </x:c>
      <x:c r="H287" s="24" t="n">
        <x:v>72.94</x:v>
      </x:c>
      <x:c r="I287" s="24" t="n">
        <x:v>62.87</x:v>
      </x:c>
      <x:c r="J287" s="24" t="n">
        <x:v>0</x:v>
      </x:c>
      <x:c r="K287" s="24" t="n">
        <x:v>9.87</x:v>
      </x:c>
      <x:c r="L287" s="24" t="n">
        <x:v>2.81</x:v>
      </x:c>
      <x:c r="M287" s="24" t="n">
        <x:f>0.35*(100-D287)+0.10*(100-E287)+0.20*(100-I287)+0.15*J287+0.10*G287+0.10*K287+L287</x:f>
        <x:v>21.147</x:v>
      </x:c>
      <x:c r="N287" t="str">
        <x:f>IF(M287&lt;27,"Low",IF(M287&lt;50,"Medium","High"))</x:f>
        <x:v>Low</x:v>
      </x:c>
    </x:row>
    <x:row r="288">
      <x:c r="A288" t="str">
        <x:v>ML285</x:v>
      </x:c>
      <x:c r="B288" s="26" t="n">
        <x:v>8</x:v>
      </x:c>
      <x:c r="C288" s="26" t="n">
        <x:v>5</x:v>
      </x:c>
      <x:c r="D288" s="24" t="n">
        <x:v>48.68</x:v>
      </x:c>
      <x:c r="E288" s="24" t="n">
        <x:v>45.88</x:v>
      </x:c>
      <x:c r="F288" s="24" t="n">
        <x:v>18.87</x:v>
      </x:c>
      <x:c r="G288" s="24" t="n">
        <x:v>13.93</x:v>
      </x:c>
      <x:c r="H288" s="24" t="n">
        <x:v>41.65</x:v>
      </x:c>
      <x:c r="I288" s="24" t="n">
        <x:v>24.57</x:v>
      </x:c>
      <x:c r="J288" s="24" t="n">
        <x:v>80</x:v>
      </x:c>
      <x:c r="K288" s="24" t="n">
        <x:v>11.82</x:v>
      </x:c>
      <x:c r="L288" s="24" t="n">
        <x:v>-6.57</x:v>
      </x:c>
      <x:c r="M288" s="24" t="n">
        <x:f>0.35*(100-D288)+0.10*(100-E288)+0.20*(100-I288)+0.15*J288+0.10*G288+0.10*K288+L288</x:f>
        <x:v>46.465</x:v>
      </x:c>
      <x:c r="N288" t="str">
        <x:f>IF(M288&lt;27,"Low",IF(M288&lt;50,"Medium","High"))</x:f>
        <x:v>Medium</x:v>
      </x:c>
    </x:row>
    <x:row r="289">
      <x:c r="A289" t="str">
        <x:v>ML286</x:v>
      </x:c>
      <x:c r="B289" s="26" t="n">
        <x:v>9</x:v>
      </x:c>
      <x:c r="C289" s="26" t="n">
        <x:v>5</x:v>
      </x:c>
      <x:c r="D289" s="24" t="n">
        <x:v>57.78</x:v>
      </x:c>
      <x:c r="E289" s="24" t="n">
        <x:v>61.43</x:v>
      </x:c>
      <x:c r="F289" s="24" t="n">
        <x:v>55.46</x:v>
      </x:c>
      <x:c r="G289" s="24" t="n">
        <x:v>5.14</x:v>
      </x:c>
      <x:c r="H289" s="24" t="n">
        <x:v>63.81</x:v>
      </x:c>
      <x:c r="I289" s="24" t="n">
        <x:v>57.58</x:v>
      </x:c>
      <x:c r="J289" s="24" t="n">
        <x:v>0</x:v>
      </x:c>
      <x:c r="K289" s="24" t="n">
        <x:v>8.48</x:v>
      </x:c>
      <x:c r="L289" s="24" t="n">
        <x:v>-4.99</x:v>
      </x:c>
      <x:c r="M289" s="24" t="n">
        <x:f>0.35*(100-D289)+0.10*(100-E289)+0.20*(100-I289)+0.15*J289+0.10*G289+0.10*K289+L289</x:f>
        <x:v>23.490000000000002</x:v>
      </x:c>
      <x:c r="N289" t="str">
        <x:f>IF(M289&lt;27,"Low",IF(M289&lt;50,"Medium","High"))</x:f>
        <x:v>Low</x:v>
      </x:c>
    </x:row>
    <x:row r="290">
      <x:c r="A290" t="str">
        <x:v>ML287</x:v>
      </x:c>
      <x:c r="B290" s="26" t="n">
        <x:v>4</x:v>
      </x:c>
      <x:c r="C290" s="26" t="n">
        <x:v>7</x:v>
      </x:c>
      <x:c r="D290" s="24" t="n">
        <x:v>73.32</x:v>
      </x:c>
      <x:c r="E290" s="24" t="n">
        <x:v>71.93</x:v>
      </x:c>
      <x:c r="F290" s="24" t="n">
        <x:v>53.45</x:v>
      </x:c>
      <x:c r="G290" s="24" t="n">
        <x:v>12.18</x:v>
      </x:c>
      <x:c r="H290" s="24" t="n">
        <x:v>67.38</x:v>
      </x:c>
      <x:c r="I290" s="24" t="n">
        <x:v>48.19</x:v>
      </x:c>
      <x:c r="J290" s="24" t="n">
        <x:v>14.29</x:v>
      </x:c>
      <x:c r="K290" s="24" t="n">
        <x:v>11.86</x:v>
      </x:c>
      <x:c r="L290" s="24" t="n">
        <x:v>-4.09</x:v>
      </x:c>
      <x:c r="M290" s="24" t="n">
        <x:f>0.35*(100-D290)+0.10*(100-E290)+0.20*(100-I290)+0.15*J290+0.10*G290+0.10*K290+L290</x:f>
        <x:v>22.9645</x:v>
      </x:c>
      <x:c r="N290" t="str">
        <x:f>IF(M290&lt;27,"Low",IF(M290&lt;50,"Medium","High"))</x:f>
        <x:v>Low</x:v>
      </x:c>
    </x:row>
    <x:row r="291">
      <x:c r="A291" t="str">
        <x:v>ML288</x:v>
      </x:c>
      <x:c r="B291" s="26" t="n">
        <x:v>4</x:v>
      </x:c>
      <x:c r="C291" s="26" t="n">
        <x:v>7</x:v>
      </x:c>
      <x:c r="D291" s="24" t="n">
        <x:v>48.04</x:v>
      </x:c>
      <x:c r="E291" s="24" t="n">
        <x:v>50.07</x:v>
      </x:c>
      <x:c r="F291" s="24" t="n">
        <x:v>44.75</x:v>
      </x:c>
      <x:c r="G291" s="24" t="n">
        <x:v>5.98</x:v>
      </x:c>
      <x:c r="H291" s="24" t="n">
        <x:v>41.5</x:v>
      </x:c>
      <x:c r="I291" s="24" t="n">
        <x:v>9.45</x:v>
      </x:c>
      <x:c r="J291" s="24" t="n">
        <x:v>57.14</x:v>
      </x:c>
      <x:c r="K291" s="24" t="n">
        <x:v>18.4</x:v>
      </x:c>
      <x:c r="L291" s="24" t="n">
        <x:v>-1.46</x:v>
      </x:c>
      <x:c r="M291" s="24" t="n">
        <x:f>0.35*(100-D291)+0.10*(100-E291)+0.20*(100-I291)+0.15*J291+0.10*G291+0.10*K291+L291</x:f>
        <x:v>50.838</x:v>
      </x:c>
      <x:c r="N291" t="str">
        <x:f>IF(M291&lt;27,"Low",IF(M291&lt;50,"Medium","High"))</x:f>
        <x:v>High</x:v>
      </x:c>
    </x:row>
    <x:row r="292">
      <x:c r="A292" t="str">
        <x:v>ML289</x:v>
      </x:c>
      <x:c r="B292" s="26" t="n">
        <x:v>7</x:v>
      </x:c>
      <x:c r="C292" s="26" t="n">
        <x:v>4</x:v>
      </x:c>
      <x:c r="D292" s="24" t="n">
        <x:v>76.24</x:v>
      </x:c>
      <x:c r="E292" s="24" t="n">
        <x:v>75.38</x:v>
      </x:c>
      <x:c r="F292" s="24" t="n">
        <x:v>55</x:v>
      </x:c>
      <x:c r="G292" s="24" t="n">
        <x:v>14.32</x:v>
      </x:c>
      <x:c r="H292" s="24" t="n">
        <x:v>71.51</x:v>
      </x:c>
      <x:c r="I292" s="24" t="n">
        <x:v>58.43</x:v>
      </x:c>
      <x:c r="J292" s="24" t="n">
        <x:v>0</x:v>
      </x:c>
      <x:c r="K292" s="24" t="n">
        <x:v>7.91</x:v>
      </x:c>
      <x:c r="L292" s="24" t="n">
        <x:v>-4.09</x:v>
      </x:c>
      <x:c r="M292" s="24" t="n">
        <x:f>0.35*(100-D292)+0.10*(100-E292)+0.20*(100-I292)+0.15*J292+0.10*G292+0.10*K292+L292</x:f>
        <x:v>17.225</x:v>
      </x:c>
      <x:c r="N292" t="str">
        <x:f>IF(M292&lt;27,"Low",IF(M292&lt;50,"Medium","High"))</x:f>
        <x:v>Low</x:v>
      </x:c>
    </x:row>
    <x:row r="293">
      <x:c r="A293" t="str">
        <x:v>ML290</x:v>
      </x:c>
      <x:c r="B293" s="26" t="n">
        <x:v>5</x:v>
      </x:c>
      <x:c r="C293" s="26" t="n">
        <x:v>7</x:v>
      </x:c>
      <x:c r="D293" s="24" t="n">
        <x:v>85.98</x:v>
      </x:c>
      <x:c r="E293" s="24" t="n">
        <x:v>90.2</x:v>
      </x:c>
      <x:c r="F293" s="24" t="n">
        <x:v>74.42</x:v>
      </x:c>
      <x:c r="G293" s="24" t="n">
        <x:v>8.58</x:v>
      </x:c>
      <x:c r="H293" s="24" t="n">
        <x:v>84.1</x:v>
      </x:c>
      <x:c r="I293" s="24" t="n">
        <x:v>60.59</x:v>
      </x:c>
      <x:c r="J293" s="24" t="n">
        <x:v>0</x:v>
      </x:c>
      <x:c r="K293" s="24" t="n">
        <x:v>13.41</x:v>
      </x:c>
      <x:c r="L293" s="24" t="n">
        <x:v>5.03</x:v>
      </x:c>
      <x:c r="M293" s="24" t="n">
        <x:f>0.35*(100-D293)+0.10*(100-E293)+0.20*(100-I293)+0.15*J293+0.10*G293+0.10*K293+L293</x:f>
        <x:v>20.998</x:v>
      </x:c>
      <x:c r="N293" t="str">
        <x:f>IF(M293&lt;27,"Low",IF(M293&lt;50,"Medium","High"))</x:f>
        <x:v>Low</x:v>
      </x:c>
    </x:row>
    <x:row r="294">
      <x:c r="A294" t="str">
        <x:v>ML291</x:v>
      </x:c>
      <x:c r="B294" s="26" t="n">
        <x:v>8</x:v>
      </x:c>
      <x:c r="C294" s="26" t="n">
        <x:v>6</x:v>
      </x:c>
      <x:c r="D294" s="24" t="n">
        <x:v>55.28</x:v>
      </x:c>
      <x:c r="E294" s="24" t="n">
        <x:v>55.8</x:v>
      </x:c>
      <x:c r="F294" s="24" t="n">
        <x:v>39.34</x:v>
      </x:c>
      <x:c r="G294" s="24" t="n">
        <x:v>10.32</x:v>
      </x:c>
      <x:c r="H294" s="24" t="n">
        <x:v>46.25</x:v>
      </x:c>
      <x:c r="I294" s="24" t="n">
        <x:v>24.97</x:v>
      </x:c>
      <x:c r="J294" s="24" t="n">
        <x:v>66.67</x:v>
      </x:c>
      <x:c r="K294" s="24" t="n">
        <x:v>11.92</x:v>
      </x:c>
      <x:c r="L294" s="24" t="n">
        <x:v>2.41</x:v>
      </x:c>
      <x:c r="M294" s="24" t="n">
        <x:f>0.35*(100-D294)+0.10*(100-E294)+0.20*(100-I294)+0.15*J294+0.10*G294+0.10*K294+L294</x:f>
        <x:v>49.712500000000006</x:v>
      </x:c>
      <x:c r="N294" t="str">
        <x:f>IF(M294&lt;27,"Low",IF(M294&lt;50,"Medium","High"))</x:f>
        <x:v>Medium</x:v>
      </x:c>
    </x:row>
    <x:row r="295">
      <x:c r="A295" t="str">
        <x:v>ML292</x:v>
      </x:c>
      <x:c r="B295" s="26" t="n">
        <x:v>4</x:v>
      </x:c>
      <x:c r="C295" s="26" t="n">
        <x:v>7</x:v>
      </x:c>
      <x:c r="D295" s="24" t="n">
        <x:v>91.47</x:v>
      </x:c>
      <x:c r="E295" s="24" t="n">
        <x:v>92.86</x:v>
      </x:c>
      <x:c r="F295" s="24" t="n">
        <x:v>87.79</x:v>
      </x:c>
      <x:c r="G295" s="24" t="n">
        <x:v>4.49</x:v>
      </x:c>
      <x:c r="H295" s="24" t="n">
        <x:v>84.97</x:v>
      </x:c>
      <x:c r="I295" s="24" t="n">
        <x:v>71.52</x:v>
      </x:c>
      <x:c r="J295" s="24" t="n">
        <x:v>0</x:v>
      </x:c>
      <x:c r="K295" s="24" t="n">
        <x:v>11.27</x:v>
      </x:c>
      <x:c r="L295" s="24" t="n">
        <x:v>-4.54</x:v>
      </x:c>
      <x:c r="M295" s="24" t="n">
        <x:f>0.35*(100-D295)+0.10*(100-E295)+0.20*(100-I295)+0.15*J295+0.10*G295+0.10*K295+L295</x:f>
        <x:v>6.431500000000002</x:v>
      </x:c>
      <x:c r="N295" t="str">
        <x:f>IF(M295&lt;27,"Low",IF(M295&lt;50,"Medium","High"))</x:f>
        <x:v>Low</x:v>
      </x:c>
    </x:row>
    <x:row r="296">
      <x:c r="A296" t="str">
        <x:v>ML293</x:v>
      </x:c>
      <x:c r="B296" s="26" t="n">
        <x:v>4</x:v>
      </x:c>
      <x:c r="C296" s="26" t="n">
        <x:v>6</x:v>
      </x:c>
      <x:c r="D296" s="24" t="n">
        <x:v>56.02</x:v>
      </x:c>
      <x:c r="E296" s="24" t="n">
        <x:v>62.78</x:v>
      </x:c>
      <x:c r="F296" s="24" t="n">
        <x:v>51.74</x:v>
      </x:c>
      <x:c r="G296" s="24" t="n">
        <x:v>9.04</x:v>
      </x:c>
      <x:c r="H296" s="24" t="n">
        <x:v>53.92</x:v>
      </x:c>
      <x:c r="I296" s="24" t="n">
        <x:v>27.59</x:v>
      </x:c>
      <x:c r="J296" s="24" t="n">
        <x:v>33.33</x:v>
      </x:c>
      <x:c r="K296" s="24" t="n">
        <x:v>13.84</x:v>
      </x:c>
      <x:c r="L296" s="24" t="n">
        <x:v>1.72</x:v>
      </x:c>
      <x:c r="M296" s="24" t="n">
        <x:f>0.35*(100-D296)+0.10*(100-E296)+0.20*(100-I296)+0.15*J296+0.10*G296+0.10*K296+L296</x:f>
        <x:v>42.60449999999999</x:v>
      </x:c>
      <x:c r="N296" t="str">
        <x:f>IF(M296&lt;27,"Low",IF(M296&lt;50,"Medium","High"))</x:f>
        <x:v>Medium</x:v>
      </x:c>
    </x:row>
    <x:row r="297">
      <x:c r="A297" t="str">
        <x:v>ML294</x:v>
      </x:c>
      <x:c r="B297" s="26" t="n">
        <x:v>7</x:v>
      </x:c>
      <x:c r="C297" s="26" t="n">
        <x:v>10</x:v>
      </x:c>
      <x:c r="D297" s="24" t="n">
        <x:v>72.56</x:v>
      </x:c>
      <x:c r="E297" s="24" t="n">
        <x:v>74.47</x:v>
      </x:c>
      <x:c r="F297" s="24" t="n">
        <x:v>70.04</x:v>
      </x:c>
      <x:c r="G297" s="24" t="n">
        <x:v>2.25</x:v>
      </x:c>
      <x:c r="H297" s="24" t="n">
        <x:v>72.51</x:v>
      </x:c>
      <x:c r="I297" s="24" t="n">
        <x:v>63.65</x:v>
      </x:c>
      <x:c r="J297" s="24" t="n">
        <x:v>0</x:v>
      </x:c>
      <x:c r="K297" s="24" t="n">
        <x:v>6.93</x:v>
      </x:c>
      <x:c r="L297" s="24" t="n">
        <x:v>0.56</x:v>
      </x:c>
      <x:c r="M297" s="24" t="n">
        <x:f>0.35*(100-D297)+0.10*(100-E297)+0.20*(100-I297)+0.15*J297+0.10*G297+0.10*K297+L297</x:f>
        <x:v>20.905</x:v>
      </x:c>
      <x:c r="N297" t="str">
        <x:f>IF(M297&lt;27,"Low",IF(M297&lt;50,"Medium","High"))</x:f>
        <x:v>Low</x:v>
      </x:c>
    </x:row>
    <x:row r="298">
      <x:c r="A298" t="str">
        <x:v>ML295</x:v>
      </x:c>
      <x:c r="B298" s="26" t="n">
        <x:v>8</x:v>
      </x:c>
      <x:c r="C298" s="26" t="n">
        <x:v>6</x:v>
      </x:c>
      <x:c r="D298" s="24" t="n">
        <x:v>48.23</x:v>
      </x:c>
      <x:c r="E298" s="24" t="n">
        <x:v>46.04</x:v>
      </x:c>
      <x:c r="F298" s="24" t="n">
        <x:v>30.45</x:v>
      </x:c>
      <x:c r="G298" s="24" t="n">
        <x:v>6.97</x:v>
      </x:c>
      <x:c r="H298" s="24" t="n">
        <x:v>30.86</x:v>
      </x:c>
      <x:c r="I298" s="24" t="n">
        <x:v>9.95</x:v>
      </x:c>
      <x:c r="J298" s="24" t="n">
        <x:v>100</x:v>
      </x:c>
      <x:c r="K298" s="24" t="n">
        <x:v>11.73</x:v>
      </x:c>
      <x:c r="L298" s="24" t="n">
        <x:v>-3.57</x:v>
      </x:c>
      <x:c r="M298" s="24" t="n">
        <x:f>0.35*(100-D298)+0.10*(100-E298)+0.20*(100-I298)+0.15*J298+0.10*G298+0.10*K298+L298</x:f>
        <x:v>54.825500000000005</x:v>
      </x:c>
      <x:c r="N298" t="str">
        <x:f>IF(M298&lt;27,"Low",IF(M298&lt;50,"Medium","High"))</x:f>
        <x:v>High</x:v>
      </x:c>
    </x:row>
    <x:row r="299">
      <x:c r="A299" t="str">
        <x:v>ML296</x:v>
      </x:c>
      <x:c r="B299" s="26" t="n">
        <x:v>7</x:v>
      </x:c>
      <x:c r="C299" s="26" t="n">
        <x:v>9</x:v>
      </x:c>
      <x:c r="D299" s="24" t="n">
        <x:v>29.27</x:v>
      </x:c>
      <x:c r="E299" s="24" t="n">
        <x:v>27.64</x:v>
      </x:c>
      <x:c r="F299" s="24" t="n">
        <x:v>12.32</x:v>
      </x:c>
      <x:c r="G299" s="24" t="n">
        <x:v>11.26</x:v>
      </x:c>
      <x:c r="H299" s="24" t="n">
        <x:v>32.24</x:v>
      </x:c>
      <x:c r="I299" s="24" t="n">
        <x:v>25.28</x:v>
      </x:c>
      <x:c r="J299" s="24" t="n">
        <x:v>100</x:v>
      </x:c>
      <x:c r="K299" s="24" t="n">
        <x:v>3.95</x:v>
      </x:c>
      <x:c r="L299" s="24" t="n">
        <x:v>5.81</x:v>
      </x:c>
      <x:c r="M299" s="24" t="n">
        <x:f>0.35*(100-D299)+0.10*(100-E299)+0.20*(100-I299)+0.15*J299+0.10*G299+0.10*K299+L299</x:f>
        <x:v>69.26650000000001</x:v>
      </x:c>
      <x:c r="N299" t="str">
        <x:f>IF(M299&lt;27,"Low",IF(M299&lt;50,"Medium","High"))</x:f>
        <x:v>High</x:v>
      </x:c>
    </x:row>
    <x:row r="300">
      <x:c r="A300" t="str">
        <x:v>ML297</x:v>
      </x:c>
      <x:c r="B300" s="26" t="n">
        <x:v>4</x:v>
      </x:c>
      <x:c r="C300" s="26" t="n">
        <x:v>4</x:v>
      </x:c>
      <x:c r="D300" s="24" t="n">
        <x:v>49.61</x:v>
      </x:c>
      <x:c r="E300" s="24" t="n">
        <x:v>48.34</x:v>
      </x:c>
      <x:c r="F300" s="24" t="n">
        <x:v>37.67</x:v>
      </x:c>
      <x:c r="G300" s="24" t="n">
        <x:v>7.98</x:v>
      </x:c>
      <x:c r="H300" s="24" t="n">
        <x:v>50.78</x:v>
      </x:c>
      <x:c r="I300" s="24" t="n">
        <x:v>38.3</x:v>
      </x:c>
      <x:c r="J300" s="24" t="n">
        <x:v>75</x:v>
      </x:c>
      <x:c r="K300" s="24" t="n">
        <x:v>13.57</x:v>
      </x:c>
      <x:c r="L300" s="24" t="n">
        <x:v>5.5</x:v>
      </x:c>
      <x:c r="M300" s="24" t="n">
        <x:f>0.35*(100-D300)+0.10*(100-E300)+0.20*(100-I300)+0.15*J300+0.10*G300+0.10*K300+L300</x:f>
        <x:v>54.0475</x:v>
      </x:c>
      <x:c r="N300" t="str">
        <x:f>IF(M300&lt;27,"Low",IF(M300&lt;50,"Medium","High"))</x:f>
        <x:v>High</x:v>
      </x:c>
    </x:row>
    <x:row r="301">
      <x:c r="A301" t="str">
        <x:v>ML298</x:v>
      </x:c>
      <x:c r="B301" s="26" t="n">
        <x:v>5</x:v>
      </x:c>
      <x:c r="C301" s="26" t="n">
        <x:v>4</x:v>
      </x:c>
      <x:c r="D301" s="24" t="n">
        <x:v>42.62</x:v>
      </x:c>
      <x:c r="E301" s="24" t="n">
        <x:v>43.62</x:v>
      </x:c>
      <x:c r="F301" s="24" t="n">
        <x:v>37.37</x:v>
      </x:c>
      <x:c r="G301" s="24" t="n">
        <x:v>6.08</x:v>
      </x:c>
      <x:c r="H301" s="24" t="n">
        <x:v>23.68</x:v>
      </x:c>
      <x:c r="I301" s="24" t="n">
        <x:v>8.98</x:v>
      </x:c>
      <x:c r="J301" s="24" t="n">
        <x:v>100</x:v>
      </x:c>
      <x:c r="K301" s="24" t="n">
        <x:v>11.04</x:v>
      </x:c>
      <x:c r="L301" s="24" t="n">
        <x:v>6.31</x:v>
      </x:c>
      <x:c r="M301" s="24" t="n">
        <x:f>0.35*(100-D301)+0.10*(100-E301)+0.20*(100-I301)+0.15*J301+0.10*G301+0.10*K301+L301</x:f>
        <x:v>66.94699999999999</x:v>
      </x:c>
      <x:c r="N301" t="str">
        <x:f>IF(M301&lt;27,"Low",IF(M301&lt;50,"Medium","High"))</x:f>
        <x:v>High</x:v>
      </x:c>
    </x:row>
    <x:row r="302">
      <x:c r="A302" t="str">
        <x:v>ML299</x:v>
      </x:c>
      <x:c r="B302" s="26" t="n">
        <x:v>4</x:v>
      </x:c>
      <x:c r="C302" s="26" t="n">
        <x:v>4</x:v>
      </x:c>
      <x:c r="D302" s="24" t="n">
        <x:v>25.07</x:v>
      </x:c>
      <x:c r="E302" s="24" t="n">
        <x:v>24.54</x:v>
      </x:c>
      <x:c r="F302" s="24" t="n">
        <x:v>9.72</x:v>
      </x:c>
      <x:c r="G302" s="24" t="n">
        <x:v>9.8</x:v>
      </x:c>
      <x:c r="H302" s="24" t="n">
        <x:v>34.46</x:v>
      </x:c>
      <x:c r="I302" s="24" t="n">
        <x:v>14.22</x:v>
      </x:c>
      <x:c r="J302" s="24" t="n">
        <x:v>100</x:v>
      </x:c>
      <x:c r="K302" s="24" t="n">
        <x:v>12.46</x:v>
      </x:c>
      <x:c r="L302" s="24" t="n">
        <x:v>0.73</x:v>
      </x:c>
      <x:c r="M302" s="24" t="n">
        <x:f>0.35*(100-D302)+0.10*(100-E302)+0.20*(100-I302)+0.15*J302+0.10*G302+0.10*K302+L302</x:f>
        <x:v>68.88350000000001</x:v>
      </x:c>
      <x:c r="N302" t="str">
        <x:f>IF(M302&lt;27,"Low",IF(M302&lt;50,"Medium","High"))</x:f>
        <x:v>High</x:v>
      </x:c>
    </x:row>
    <x:row r="303">
      <x:c r="A303" t="str">
        <x:v>ML300</x:v>
      </x:c>
      <x:c r="B303" s="26" t="n">
        <x:v>7</x:v>
      </x:c>
      <x:c r="C303" s="26" t="n">
        <x:v>5</x:v>
      </x:c>
      <x:c r="D303" s="24" t="n">
        <x:v>63.59</x:v>
      </x:c>
      <x:c r="E303" s="24" t="n">
        <x:v>57.42</x:v>
      </x:c>
      <x:c r="F303" s="24" t="n">
        <x:v>51.14</x:v>
      </x:c>
      <x:c r="G303" s="24" t="n">
        <x:v>5.44</x:v>
      </x:c>
      <x:c r="H303" s="24" t="n">
        <x:v>66.56</x:v>
      </x:c>
      <x:c r="I303" s="24" t="n">
        <x:v>57.64</x:v>
      </x:c>
      <x:c r="J303" s="24" t="n">
        <x:v>0</x:v>
      </x:c>
      <x:c r="K303" s="24" t="n">
        <x:v>5.3</x:v>
      </x:c>
      <x:c r="L303" s="24" t="n">
        <x:v>4.27</x:v>
      </x:c>
      <x:c r="M303" s="24" t="n">
        <x:f>0.35*(100-D303)+0.10*(100-E303)+0.20*(100-I303)+0.15*J303+0.10*G303+0.10*K303+L303</x:f>
        <x:v>30.817499999999995</x:v>
      </x:c>
      <x:c r="N303" t="str">
        <x:f>IF(M303&lt;27,"Low",IF(M303&lt;50,"Medium","High"))</x:f>
        <x:v>Medium</x:v>
      </x:c>
    </x:row>
    <x:row r="304">
      <x:c r="A304" t="str">
        <x:v>ML301</x:v>
      </x:c>
      <x:c r="B304" s="26" t="n">
        <x:v>5</x:v>
      </x:c>
      <x:c r="C304" s="26" t="n">
        <x:v>9</x:v>
      </x:c>
      <x:c r="D304" s="24" t="n">
        <x:v>39.76</x:v>
      </x:c>
      <x:c r="E304" s="24" t="n">
        <x:v>40.77</x:v>
      </x:c>
      <x:c r="F304" s="24" t="n">
        <x:v>30.43</x:v>
      </x:c>
      <x:c r="G304" s="24" t="n">
        <x:v>7.74</x:v>
      </x:c>
      <x:c r="H304" s="24" t="n">
        <x:v>31.08</x:v>
      </x:c>
      <x:c r="I304" s="24" t="n">
        <x:v>0</x:v>
      </x:c>
      <x:c r="J304" s="24" t="n">
        <x:v>77.78</x:v>
      </x:c>
      <x:c r="K304" s="24" t="n">
        <x:v>20.02</x:v>
      </x:c>
      <x:c r="L304" s="24" t="n">
        <x:v>-3.38</x:v>
      </x:c>
      <x:c r="M304" s="24" t="n">
        <x:f>0.35*(100-D304)+0.10*(100-E304)+0.20*(100-I304)+0.15*J304+0.10*G304+0.10*K304+L304</x:f>
        <x:v>58.07</x:v>
      </x:c>
      <x:c r="N304" t="str">
        <x:f>IF(M304&lt;27,"Low",IF(M304&lt;50,"Medium","High"))</x:f>
        <x:v>High</x:v>
      </x:c>
    </x:row>
    <x:row r="305">
      <x:c r="A305" t="str">
        <x:v>ML302</x:v>
      </x:c>
      <x:c r="B305" s="26" t="n">
        <x:v>8</x:v>
      </x:c>
      <x:c r="C305" s="26" t="n">
        <x:v>4</x:v>
      </x:c>
      <x:c r="D305" s="24" t="n">
        <x:v>92.67</x:v>
      </x:c>
      <x:c r="E305" s="24" t="n">
        <x:v>90.91</x:v>
      </x:c>
      <x:c r="F305" s="24" t="n">
        <x:v>82</x:v>
      </x:c>
      <x:c r="G305" s="24" t="n">
        <x:v>6.34</x:v>
      </x:c>
      <x:c r="H305" s="24" t="n">
        <x:v>84.45</x:v>
      </x:c>
      <x:c r="I305" s="24" t="n">
        <x:v>76.58</x:v>
      </x:c>
      <x:c r="J305" s="24" t="n">
        <x:v>0</x:v>
      </x:c>
      <x:c r="K305" s="24" t="n">
        <x:v>8.33</x:v>
      </x:c>
      <x:c r="L305" s="24" t="n">
        <x:v>-2.2</x:v>
      </x:c>
      <x:c r="M305" s="24" t="n">
        <x:f>0.35*(100-D305)+0.10*(100-E305)+0.20*(100-I305)+0.15*J305+0.10*G305+0.10*K305+L305</x:f>
        <x:v>7.4255</x:v>
      </x:c>
      <x:c r="N305" t="str">
        <x:f>IF(M305&lt;27,"Low",IF(M305&lt;50,"Medium","High"))</x:f>
        <x:v>Low</x:v>
      </x:c>
    </x:row>
    <x:row r="306">
      <x:c r="A306" t="str">
        <x:v>ML303</x:v>
      </x:c>
      <x:c r="B306" s="26" t="n">
        <x:v>9</x:v>
      </x:c>
      <x:c r="C306" s="26" t="n">
        <x:v>8</x:v>
      </x:c>
      <x:c r="D306" s="24" t="n">
        <x:v>67.8</x:v>
      </x:c>
      <x:c r="E306" s="24" t="n">
        <x:v>69.03</x:v>
      </x:c>
      <x:c r="F306" s="24" t="n">
        <x:v>62.97</x:v>
      </x:c>
      <x:c r="G306" s="24" t="n">
        <x:v>3.72</x:v>
      </x:c>
      <x:c r="H306" s="24" t="n">
        <x:v>64.06</x:v>
      </x:c>
      <x:c r="I306" s="24" t="n">
        <x:v>30.81</x:v>
      </x:c>
      <x:c r="J306" s="24" t="n">
        <x:v>25</x:v>
      </x:c>
      <x:c r="K306" s="24" t="n">
        <x:v>19.03</x:v>
      </x:c>
      <x:c r="L306" s="24" t="n">
        <x:v>1.07</x:v>
      </x:c>
      <x:c r="M306" s="24" t="n">
        <x:f>0.35*(100-D306)+0.10*(100-E306)+0.20*(100-I306)+0.15*J306+0.10*G306+0.10*K306+L306</x:f>
        <x:v>35.3</x:v>
      </x:c>
      <x:c r="N306" t="str">
        <x:f>IF(M306&lt;27,"Low",IF(M306&lt;50,"Medium","High"))</x:f>
        <x:v>Medium</x:v>
      </x:c>
    </x:row>
    <x:row r="307">
      <x:c r="A307" t="str">
        <x:v>ML304</x:v>
      </x:c>
      <x:c r="B307" s="26" t="n">
        <x:v>7</x:v>
      </x:c>
      <x:c r="C307" s="26" t="n">
        <x:v>8</x:v>
      </x:c>
      <x:c r="D307" s="24" t="n">
        <x:v>61.25</x:v>
      </x:c>
      <x:c r="E307" s="24" t="n">
        <x:v>59.54</x:v>
      </x:c>
      <x:c r="F307" s="24" t="n">
        <x:v>55.55</x:v>
      </x:c>
      <x:c r="G307" s="24" t="n">
        <x:v>2.56</x:v>
      </x:c>
      <x:c r="H307" s="24" t="n">
        <x:v>56.66</x:v>
      </x:c>
      <x:c r="I307" s="24" t="n">
        <x:v>48.7</x:v>
      </x:c>
      <x:c r="J307" s="24" t="n">
        <x:v>12.5</x:v>
      </x:c>
      <x:c r="K307" s="24" t="n">
        <x:v>4.86</x:v>
      </x:c>
      <x:c r="L307" s="24" t="n">
        <x:v>-2.39</x:v>
      </x:c>
      <x:c r="M307" s="24" t="n">
        <x:f>0.35*(100-D307)+0.10*(100-E307)+0.20*(100-I307)+0.15*J307+0.10*G307+0.10*K307+L307</x:f>
        <x:v>28.095499999999998</x:v>
      </x:c>
      <x:c r="N307" t="str">
        <x:f>IF(M307&lt;27,"Low",IF(M307&lt;50,"Medium","High"))</x:f>
        <x:v>Medium</x:v>
      </x:c>
    </x:row>
    <x:row r="308">
      <x:c r="A308" t="str">
        <x:v>ML305</x:v>
      </x:c>
      <x:c r="B308" s="26" t="n">
        <x:v>6</x:v>
      </x:c>
      <x:c r="C308" s="26" t="n">
        <x:v>6</x:v>
      </x:c>
      <x:c r="D308" s="24" t="n">
        <x:v>42.62</x:v>
      </x:c>
      <x:c r="E308" s="24" t="n">
        <x:v>45.92</x:v>
      </x:c>
      <x:c r="F308" s="24" t="n">
        <x:v>40.1</x:v>
      </x:c>
      <x:c r="G308" s="24" t="n">
        <x:v>3.98</x:v>
      </x:c>
      <x:c r="H308" s="24" t="n">
        <x:v>47.85</x:v>
      </x:c>
      <x:c r="I308" s="24" t="n">
        <x:v>44.05</x:v>
      </x:c>
      <x:c r="J308" s="24" t="n">
        <x:v>66.67</x:v>
      </x:c>
      <x:c r="K308" s="24" t="n">
        <x:v>3.05</x:v>
      </x:c>
      <x:c r="L308" s="24" t="n">
        <x:v>3.35</x:v>
      </x:c>
      <x:c r="M308" s="24" t="n">
        <x:f>0.35*(100-D308)+0.10*(100-E308)+0.20*(100-I308)+0.15*J308+0.10*G308+0.10*K308+L308</x:f>
        <x:v>50.734500000000004</x:v>
      </x:c>
      <x:c r="N308" t="str">
        <x:f>IF(M308&lt;27,"Low",IF(M308&lt;50,"Medium","High"))</x:f>
        <x:v>High</x:v>
      </x:c>
    </x:row>
    <x:row r="309">
      <x:c r="A309" t="str">
        <x:v>ML306</x:v>
      </x:c>
      <x:c r="B309" s="26" t="n">
        <x:v>9</x:v>
      </x:c>
      <x:c r="C309" s="26" t="n">
        <x:v>5</x:v>
      </x:c>
      <x:c r="D309" s="24" t="n">
        <x:v>64.34</x:v>
      </x:c>
      <x:c r="E309" s="24" t="n">
        <x:v>63.06</x:v>
      </x:c>
      <x:c r="F309" s="24" t="n">
        <x:v>50.37</x:v>
      </x:c>
      <x:c r="G309" s="24" t="n">
        <x:v>11.32</x:v>
      </x:c>
      <x:c r="H309" s="24" t="n">
        <x:v>50.82</x:v>
      </x:c>
      <x:c r="I309" s="24" t="n">
        <x:v>37.61</x:v>
      </x:c>
      <x:c r="J309" s="24" t="n">
        <x:v>60</x:v>
      </x:c>
      <x:c r="K309" s="24" t="n">
        <x:v>14.23</x:v>
      </x:c>
      <x:c r="L309" s="24" t="n">
        <x:v>-1.14</x:v>
      </x:c>
      <x:c r="M309" s="24" t="n">
        <x:f>0.35*(100-D309)+0.10*(100-E309)+0.20*(100-I309)+0.15*J309+0.10*G309+0.10*K309+L309</x:f>
        <x:v>39.068</x:v>
      </x:c>
      <x:c r="N309" t="str">
        <x:f>IF(M309&lt;27,"Low",IF(M309&lt;50,"Medium","High"))</x:f>
        <x:v>Medium</x:v>
      </x:c>
    </x:row>
    <x:row r="310">
      <x:c r="A310" t="str">
        <x:v>ML307</x:v>
      </x:c>
      <x:c r="B310" s="26" t="n">
        <x:v>8</x:v>
      </x:c>
      <x:c r="C310" s="26" t="n">
        <x:v>10</x:v>
      </x:c>
      <x:c r="D310" s="24" t="n">
        <x:v>57.6</x:v>
      </x:c>
      <x:c r="E310" s="24" t="n">
        <x:v>57.69</x:v>
      </x:c>
      <x:c r="F310" s="24" t="n">
        <x:v>52.6</x:v>
      </x:c>
      <x:c r="G310" s="24" t="n">
        <x:v>6.82</x:v>
      </x:c>
      <x:c r="H310" s="24" t="n">
        <x:v>50.74</x:v>
      </x:c>
      <x:c r="I310" s="24" t="n">
        <x:v>27.48</x:v>
      </x:c>
      <x:c r="J310" s="24" t="n">
        <x:v>60</x:v>
      </x:c>
      <x:c r="K310" s="24" t="n">
        <x:v>11.5</x:v>
      </x:c>
      <x:c r="L310" s="24" t="n">
        <x:v>7.28</x:v>
      </x:c>
      <x:c r="M310" s="24" t="n">
        <x:f>0.35*(100-D310)+0.10*(100-E310)+0.20*(100-I310)+0.15*J310+0.10*G310+0.10*K310+L310</x:f>
        <x:v>51.687</x:v>
      </x:c>
      <x:c r="N310" t="str">
        <x:f>IF(M310&lt;27,"Low",IF(M310&lt;50,"Medium","High"))</x:f>
        <x:v>High</x:v>
      </x:c>
    </x:row>
    <x:row r="311">
      <x:c r="A311" t="str">
        <x:v>ML308</x:v>
      </x:c>
      <x:c r="B311" s="26" t="n">
        <x:v>4</x:v>
      </x:c>
      <x:c r="C311" s="26" t="n">
        <x:v>8</x:v>
      </x:c>
      <x:c r="D311" s="24" t="n">
        <x:v>52.06</x:v>
      </x:c>
      <x:c r="E311" s="24" t="n">
        <x:v>54.53</x:v>
      </x:c>
      <x:c r="F311" s="24" t="n">
        <x:v>48.95</x:v>
      </x:c>
      <x:c r="G311" s="24" t="n">
        <x:v>5.22</x:v>
      </x:c>
      <x:c r="H311" s="24" t="n">
        <x:v>56.36</x:v>
      </x:c>
      <x:c r="I311" s="24" t="n">
        <x:v>43.62</x:v>
      </x:c>
      <x:c r="J311" s="24" t="n">
        <x:v>37.5</x:v>
      </x:c>
      <x:c r="K311" s="24" t="n">
        <x:v>10.3</x:v>
      </x:c>
      <x:c r="L311" s="24" t="n">
        <x:v>-0.94</x:v>
      </x:c>
      <x:c r="M311" s="24" t="n">
        <x:f>0.35*(100-D311)+0.10*(100-E311)+0.20*(100-I311)+0.15*J311+0.10*G311+0.10*K311+L311</x:f>
        <x:v>38.839000000000006</x:v>
      </x:c>
      <x:c r="N311" t="str">
        <x:f>IF(M311&lt;27,"Low",IF(M311&lt;50,"Medium","High"))</x:f>
        <x:v>Medium</x:v>
      </x:c>
    </x:row>
    <x:row r="312">
      <x:c r="A312" t="str">
        <x:v>ML309</x:v>
      </x:c>
      <x:c r="B312" s="26" t="n">
        <x:v>5</x:v>
      </x:c>
      <x:c r="C312" s="26" t="n">
        <x:v>5</x:v>
      </x:c>
      <x:c r="D312" s="24" t="n">
        <x:v>80.27</x:v>
      </x:c>
      <x:c r="E312" s="24" t="n">
        <x:v>81.9</x:v>
      </x:c>
      <x:c r="F312" s="24" t="n">
        <x:v>74.88</x:v>
      </x:c>
      <x:c r="G312" s="24" t="n">
        <x:v>7.28</x:v>
      </x:c>
      <x:c r="H312" s="24" t="n">
        <x:v>71.71</x:v>
      </x:c>
      <x:c r="I312" s="24" t="n">
        <x:v>62.52</x:v>
      </x:c>
      <x:c r="J312" s="24" t="n">
        <x:v>0</x:v>
      </x:c>
      <x:c r="K312" s="24" t="n">
        <x:v>9.15</x:v>
      </x:c>
      <x:c r="L312" s="24" t="n">
        <x:v>6.48</x:v>
      </x:c>
      <x:c r="M312" s="24" t="n">
        <x:f>0.35*(100-D312)+0.10*(100-E312)+0.20*(100-I312)+0.15*J312+0.10*G312+0.10*K312+L312</x:f>
        <x:v>24.334500000000002</x:v>
      </x:c>
      <x:c r="N312" t="str">
        <x:f>IF(M312&lt;27,"Low",IF(M312&lt;50,"Medium","High"))</x:f>
        <x:v>Low</x:v>
      </x:c>
    </x:row>
    <x:row r="313">
      <x:c r="A313" t="str">
        <x:v>ML310</x:v>
      </x:c>
      <x:c r="B313" s="26" t="n">
        <x:v>9</x:v>
      </x:c>
      <x:c r="C313" s="26" t="n">
        <x:v>10</x:v>
      </x:c>
      <x:c r="D313" s="24" t="n">
        <x:v>69.2</x:v>
      </x:c>
      <x:c r="E313" s="24" t="n">
        <x:v>72.31</x:v>
      </x:c>
      <x:c r="F313" s="24" t="n">
        <x:v>56.06</x:v>
      </x:c>
      <x:c r="G313" s="24" t="n">
        <x:v>9.43</x:v>
      </x:c>
      <x:c r="H313" s="24" t="n">
        <x:v>72.81</x:v>
      </x:c>
      <x:c r="I313" s="24" t="n">
        <x:v>52.55</x:v>
      </x:c>
      <x:c r="J313" s="24" t="n">
        <x:v>0</x:v>
      </x:c>
      <x:c r="K313" s="24" t="n">
        <x:v>8.82</x:v>
      </x:c>
      <x:c r="L313" s="24" t="n">
        <x:v>-3.6</x:v>
      </x:c>
      <x:c r="M313" s="24" t="n">
        <x:f>0.35*(100-D313)+0.10*(100-E313)+0.20*(100-I313)+0.15*J313+0.10*G313+0.10*K313+L313</x:f>
        <x:v>21.264</x:v>
      </x:c>
      <x:c r="N313" t="str">
        <x:f>IF(M313&lt;27,"Low",IF(M313&lt;50,"Medium","High"))</x:f>
        <x:v>Low</x:v>
      </x:c>
    </x:row>
    <x:row r="314">
      <x:c r="A314" t="str">
        <x:v>ML311</x:v>
      </x:c>
      <x:c r="B314" s="26" t="n">
        <x:v>9</x:v>
      </x:c>
      <x:c r="C314" s="26" t="n">
        <x:v>9</x:v>
      </x:c>
      <x:c r="D314" s="24" t="n">
        <x:v>51.46</x:v>
      </x:c>
      <x:c r="E314" s="24" t="n">
        <x:v>55.13</x:v>
      </x:c>
      <x:c r="F314" s="24" t="n">
        <x:v>44.75</x:v>
      </x:c>
      <x:c r="G314" s="24" t="n">
        <x:v>8.89</x:v>
      </x:c>
      <x:c r="H314" s="24" t="n">
        <x:v>51.64</x:v>
      </x:c>
      <x:c r="I314" s="24" t="n">
        <x:v>29.47</x:v>
      </x:c>
      <x:c r="J314" s="24" t="n">
        <x:v>44.44</x:v>
      </x:c>
      <x:c r="K314" s="24" t="n">
        <x:v>13.8</x:v>
      </x:c>
      <x:c r="L314" s="24" t="n">
        <x:v>-0.9</x:v>
      </x:c>
      <x:c r="M314" s="24" t="n">
        <x:f>0.35*(100-D314)+0.10*(100-E314)+0.20*(100-I314)+0.15*J314+0.10*G314+0.10*K314+L314</x:f>
        <x:v>43.617000000000004</x:v>
      </x:c>
      <x:c r="N314" t="str">
        <x:f>IF(M314&lt;27,"Low",IF(M314&lt;50,"Medium","High"))</x:f>
        <x:v>Medium</x:v>
      </x:c>
    </x:row>
    <x:row r="315">
      <x:c r="A315" t="str">
        <x:v>ML312</x:v>
      </x:c>
      <x:c r="B315" s="26" t="n">
        <x:v>7</x:v>
      </x:c>
      <x:c r="C315" s="26" t="n">
        <x:v>5</x:v>
      </x:c>
      <x:c r="D315" s="24" t="n">
        <x:v>65.66</x:v>
      </x:c>
      <x:c r="E315" s="24" t="n">
        <x:v>67.2</x:v>
      </x:c>
      <x:c r="F315" s="24" t="n">
        <x:v>54.37</x:v>
      </x:c>
      <x:c r="G315" s="24" t="n">
        <x:v>6.41</x:v>
      </x:c>
      <x:c r="H315" s="24" t="n">
        <x:v>68.18</x:v>
      </x:c>
      <x:c r="I315" s="24" t="n">
        <x:v>59.74</x:v>
      </x:c>
      <x:c r="J315" s="24" t="n">
        <x:v>0</x:v>
      </x:c>
      <x:c r="K315" s="24" t="n">
        <x:v>8.33</x:v>
      </x:c>
      <x:c r="L315" s="24" t="n">
        <x:v>-2.47</x:v>
      </x:c>
      <x:c r="M315" s="24" t="n">
        <x:f>0.35*(100-D315)+0.10*(100-E315)+0.20*(100-I315)+0.15*J315+0.10*G315+0.10*K315+L315</x:f>
        <x:v>22.354999999999997</x:v>
      </x:c>
      <x:c r="N315" t="str">
        <x:f>IF(M315&lt;27,"Low",IF(M315&lt;50,"Medium","High"))</x:f>
        <x:v>Low</x:v>
      </x:c>
    </x:row>
    <x:row r="316">
      <x:c r="A316" t="str">
        <x:v>ML313</x:v>
      </x:c>
      <x:c r="B316" s="26" t="n">
        <x:v>5</x:v>
      </x:c>
      <x:c r="C316" s="26" t="n">
        <x:v>4</x:v>
      </x:c>
      <x:c r="D316" s="24" t="n">
        <x:v>85.34</x:v>
      </x:c>
      <x:c r="E316" s="24" t="n">
        <x:v>83.36</x:v>
      </x:c>
      <x:c r="F316" s="24" t="n">
        <x:v>80.28</x:v>
      </x:c>
      <x:c r="G316" s="24" t="n">
        <x:v>4.77</x:v>
      </x:c>
      <x:c r="H316" s="24" t="n">
        <x:v>78.4</x:v>
      </x:c>
      <x:c r="I316" s="24" t="n">
        <x:v>62.78</x:v>
      </x:c>
      <x:c r="J316" s="24" t="n">
        <x:v>0</x:v>
      </x:c>
      <x:c r="K316" s="24" t="n">
        <x:v>9.08</x:v>
      </x:c>
      <x:c r="L316" s="24" t="n">
        <x:v>4.48</x:v>
      </x:c>
      <x:c r="M316" s="24" t="n">
        <x:f>0.35*(100-D316)+0.10*(100-E316)+0.20*(100-I316)+0.15*J316+0.10*G316+0.10*K316+L316</x:f>
        <x:v>20.104</x:v>
      </x:c>
      <x:c r="N316" t="str">
        <x:f>IF(M316&lt;27,"Low",IF(M316&lt;50,"Medium","High"))</x:f>
        <x:v>Low</x:v>
      </x:c>
    </x:row>
    <x:row r="317">
      <x:c r="A317" t="str">
        <x:v>ML314</x:v>
      </x:c>
      <x:c r="B317" s="26" t="n">
        <x:v>8</x:v>
      </x:c>
      <x:c r="C317" s="26" t="n">
        <x:v>9</x:v>
      </x:c>
      <x:c r="D317" s="24" t="n">
        <x:v>46.99</x:v>
      </x:c>
      <x:c r="E317" s="24" t="n">
        <x:v>46.24</x:v>
      </x:c>
      <x:c r="F317" s="24" t="n">
        <x:v>37.08</x:v>
      </x:c>
      <x:c r="G317" s="24" t="n">
        <x:v>4.03</x:v>
      </x:c>
      <x:c r="H317" s="24" t="n">
        <x:v>51.1</x:v>
      </x:c>
      <x:c r="I317" s="24" t="n">
        <x:v>30.66</x:v>
      </x:c>
      <x:c r="J317" s="24" t="n">
        <x:v>55.56</x:v>
      </x:c>
      <x:c r="K317" s="24" t="n">
        <x:v>9.4</x:v>
      </x:c>
      <x:c r="L317" s="24" t="n">
        <x:v>-3.96</x:v>
      </x:c>
      <x:c r="M317" s="24" t="n">
        <x:f>0.35*(100-D317)+0.10*(100-E317)+0.20*(100-I317)+0.15*J317+0.10*G317+0.10*K317+L317</x:f>
        <x:v>43.5145</x:v>
      </x:c>
      <x:c r="N317" t="str">
        <x:f>IF(M317&lt;27,"Low",IF(M317&lt;50,"Medium","High"))</x:f>
        <x:v>Medium</x:v>
      </x:c>
    </x:row>
    <x:row r="318">
      <x:c r="A318" t="str">
        <x:v>ML315</x:v>
      </x:c>
      <x:c r="B318" s="26" t="n">
        <x:v>6</x:v>
      </x:c>
      <x:c r="C318" s="26" t="n">
        <x:v>6</x:v>
      </x:c>
      <x:c r="D318" s="24" t="n">
        <x:v>71.77</x:v>
      </x:c>
      <x:c r="E318" s="24" t="n">
        <x:v>68.94</x:v>
      </x:c>
      <x:c r="F318" s="24" t="n">
        <x:v>46.81</x:v>
      </x:c>
      <x:c r="G318" s="24" t="n">
        <x:v>10.97</x:v>
      </x:c>
      <x:c r="H318" s="24" t="n">
        <x:v>69.29</x:v>
      </x:c>
      <x:c r="I318" s="24" t="n">
        <x:v>61.32</x:v>
      </x:c>
      <x:c r="J318" s="24" t="n">
        <x:v>0</x:v>
      </x:c>
      <x:c r="K318" s="24" t="n">
        <x:v>7.1</x:v>
      </x:c>
      <x:c r="L318" s="24" t="n">
        <x:v>-3.95</x:v>
      </x:c>
      <x:c r="M318" s="24" t="n">
        <x:f>0.35*(100-D318)+0.10*(100-E318)+0.20*(100-I318)+0.15*J318+0.10*G318+0.10*K318+L318</x:f>
        <x:v>18.579500000000007</x:v>
      </x:c>
      <x:c r="N318" t="str">
        <x:f>IF(M318&lt;27,"Low",IF(M318&lt;50,"Medium","High"))</x:f>
        <x:v>Low</x:v>
      </x:c>
    </x:row>
    <x:row r="319">
      <x:c r="A319" t="str">
        <x:v>ML316</x:v>
      </x:c>
      <x:c r="B319" s="26" t="n">
        <x:v>7</x:v>
      </x:c>
      <x:c r="C319" s="26" t="n">
        <x:v>8</x:v>
      </x:c>
      <x:c r="D319" s="24" t="n">
        <x:v>93.97</x:v>
      </x:c>
      <x:c r="E319" s="24" t="n">
        <x:v>92.04</x:v>
      </x:c>
      <x:c r="F319" s="24" t="n">
        <x:v>75.64</x:v>
      </x:c>
      <x:c r="G319" s="24" t="n">
        <x:v>8.77</x:v>
      </x:c>
      <x:c r="H319" s="24" t="n">
        <x:v>82.17</x:v>
      </x:c>
      <x:c r="I319" s="24" t="n">
        <x:v>60.24</x:v>
      </x:c>
      <x:c r="J319" s="24" t="n">
        <x:v>0</x:v>
      </x:c>
      <x:c r="K319" s="24" t="n">
        <x:v>13.79</x:v>
      </x:c>
      <x:c r="L319" s="24" t="n">
        <x:v>6.02</x:v>
      </x:c>
      <x:c r="M319" s="24" t="n">
        <x:f>0.35*(100-D319)+0.10*(100-E319)+0.20*(100-I319)+0.15*J319+0.10*G319+0.10*K319+L319</x:f>
        <x:v>19.1345</x:v>
      </x:c>
      <x:c r="N319" t="str">
        <x:f>IF(M319&lt;27,"Low",IF(M319&lt;50,"Medium","High"))</x:f>
        <x:v>Low</x:v>
      </x:c>
    </x:row>
    <x:row r="320">
      <x:c r="A320" t="str">
        <x:v>ML317</x:v>
      </x:c>
      <x:c r="B320" s="26" t="n">
        <x:v>8</x:v>
      </x:c>
      <x:c r="C320" s="26" t="n">
        <x:v>8</x:v>
      </x:c>
      <x:c r="D320" s="24" t="n">
        <x:v>78.44</x:v>
      </x:c>
      <x:c r="E320" s="24" t="n">
        <x:v>73.07</x:v>
      </x:c>
      <x:c r="F320" s="24" t="n">
        <x:v>66.22</x:v>
      </x:c>
      <x:c r="G320" s="24" t="n">
        <x:v>3.84</x:v>
      </x:c>
      <x:c r="H320" s="24" t="n">
        <x:v>63.55</x:v>
      </x:c>
      <x:c r="I320" s="24" t="n">
        <x:v>44.69</x:v>
      </x:c>
      <x:c r="J320" s="24" t="n">
        <x:v>12.5</x:v>
      </x:c>
      <x:c r="K320" s="24" t="n">
        <x:v>10.02</x:v>
      </x:c>
      <x:c r="L320" s="24" t="n">
        <x:v>-2.93</x:v>
      </x:c>
      <x:c r="M320" s="24" t="n">
        <x:f>0.35*(100-D320)+0.10*(100-E320)+0.20*(100-I320)+0.15*J320+0.10*G320+0.10*K320+L320</x:f>
        <x:v>21.632</x:v>
      </x:c>
      <x:c r="N320" t="str">
        <x:f>IF(M320&lt;27,"Low",IF(M320&lt;50,"Medium","High"))</x:f>
        <x:v>Low</x:v>
      </x:c>
    </x:row>
    <x:row r="321">
      <x:c r="A321" t="str">
        <x:v>ML318</x:v>
      </x:c>
      <x:c r="B321" s="26" t="n">
        <x:v>7</x:v>
      </x:c>
      <x:c r="C321" s="26" t="n">
        <x:v>5</x:v>
      </x:c>
      <x:c r="D321" s="24" t="n">
        <x:v>76.62</x:v>
      </x:c>
      <x:c r="E321" s="24" t="n">
        <x:v>73.48</x:v>
      </x:c>
      <x:c r="F321" s="24" t="n">
        <x:v>54.57</x:v>
      </x:c>
      <x:c r="G321" s="24" t="n">
        <x:v>13.5</x:v>
      </x:c>
      <x:c r="H321" s="24" t="n">
        <x:v>57.46</x:v>
      </x:c>
      <x:c r="I321" s="24" t="n">
        <x:v>42.74</x:v>
      </x:c>
      <x:c r="J321" s="24" t="n">
        <x:v>20</x:v>
      </x:c>
      <x:c r="K321" s="24" t="n">
        <x:v>11.91</x:v>
      </x:c>
      <x:c r="L321" s="24" t="n">
        <x:v>7.08</x:v>
      </x:c>
      <x:c r="M321" s="24" t="n">
        <x:f>0.35*(100-D321)+0.10*(100-E321)+0.20*(100-I321)+0.15*J321+0.10*G321+0.10*K321+L321</x:f>
        <x:v>34.908</x:v>
      </x:c>
      <x:c r="N321" t="str">
        <x:f>IF(M321&lt;27,"Low",IF(M321&lt;50,"Medium","High"))</x:f>
        <x:v>Medium</x:v>
      </x:c>
    </x:row>
    <x:row r="322">
      <x:c r="A322" t="str">
        <x:v>ML319</x:v>
      </x:c>
      <x:c r="B322" s="26" t="n">
        <x:v>4</x:v>
      </x:c>
      <x:c r="C322" s="26" t="n">
        <x:v>6</x:v>
      </x:c>
      <x:c r="D322" s="24" t="n">
        <x:v>73.29</x:v>
      </x:c>
      <x:c r="E322" s="24" t="n">
        <x:v>77.78</x:v>
      </x:c>
      <x:c r="F322" s="24" t="n">
        <x:v>55.4</x:v>
      </x:c>
      <x:c r="G322" s="24" t="n">
        <x:v>13.53</x:v>
      </x:c>
      <x:c r="H322" s="24" t="n">
        <x:v>66.66</x:v>
      </x:c>
      <x:c r="I322" s="24" t="n">
        <x:v>47.34</x:v>
      </x:c>
      <x:c r="J322" s="24" t="n">
        <x:v>16.67</x:v>
      </x:c>
      <x:c r="K322" s="24" t="n">
        <x:v>14.06</x:v>
      </x:c>
      <x:c r="L322" s="24" t="n">
        <x:v>-0.43</x:v>
      </x:c>
      <x:c r="M322" s="24" t="n">
        <x:f>0.35*(100-D322)+0.10*(100-E322)+0.20*(100-I322)+0.15*J322+0.10*G322+0.10*K322+L322</x:f>
        <x:v>26.932</x:v>
      </x:c>
      <x:c r="N322" t="str">
        <x:f>IF(M322&lt;27,"Low",IF(M322&lt;50,"Medium","High"))</x:f>
        <x:v>Low</x:v>
      </x:c>
    </x:row>
    <x:row r="323">
      <x:c r="A323" t="str">
        <x:v>ML320</x:v>
      </x:c>
      <x:c r="B323" s="26" t="n">
        <x:v>4</x:v>
      </x:c>
      <x:c r="C323" s="26" t="n">
        <x:v>4</x:v>
      </x:c>
      <x:c r="D323" s="24" t="n">
        <x:v>39.05</x:v>
      </x:c>
      <x:c r="E323" s="24" t="n">
        <x:v>37.39</x:v>
      </x:c>
      <x:c r="F323" s="24" t="n">
        <x:v>30.02</x:v>
      </x:c>
      <x:c r="G323" s="24" t="n">
        <x:v>6.42</x:v>
      </x:c>
      <x:c r="H323" s="24" t="n">
        <x:v>23.02</x:v>
      </x:c>
      <x:c r="I323" s="24" t="n">
        <x:v>0</x:v>
      </x:c>
      <x:c r="J323" s="24" t="n">
        <x:v>100</x:v>
      </x:c>
      <x:c r="K323" s="24" t="n">
        <x:v>17.41</x:v>
      </x:c>
      <x:c r="L323" s="24" t="n">
        <x:v>-4.69</x:v>
      </x:c>
      <x:c r="M323" s="24" t="n">
        <x:f>0.35*(100-D323)+0.10*(100-E323)+0.20*(100-I323)+0.15*J323+0.10*G323+0.10*K323+L323</x:f>
        <x:v>60.286500000000004</x:v>
      </x:c>
      <x:c r="N323" t="str">
        <x:f>IF(M323&lt;27,"Low",IF(M323&lt;50,"Medium","High"))</x:f>
        <x:v>High</x:v>
      </x:c>
    </x:row>
    <x:row r="324">
      <x:c r="A324" t="str">
        <x:v>ML321</x:v>
      </x:c>
      <x:c r="B324" s="26" t="n">
        <x:v>4</x:v>
      </x:c>
      <x:c r="C324" s="26" t="n">
        <x:v>10</x:v>
      </x:c>
      <x:c r="D324" s="24" t="n">
        <x:v>32.78</x:v>
      </x:c>
      <x:c r="E324" s="24" t="n">
        <x:v>30.33</x:v>
      </x:c>
      <x:c r="F324" s="24" t="n">
        <x:v>14.54</x:v>
      </x:c>
      <x:c r="G324" s="24" t="n">
        <x:v>10.61</x:v>
      </x:c>
      <x:c r="H324" s="24" t="n">
        <x:v>29.96</x:v>
      </x:c>
      <x:c r="I324" s="24" t="n">
        <x:v>20.83</x:v>
      </x:c>
      <x:c r="J324" s="24" t="n">
        <x:v>100</x:v>
      </x:c>
      <x:c r="K324" s="24" t="n">
        <x:v>6.17</x:v>
      </x:c>
      <x:c r="L324" s="24" t="n">
        <x:v>10.73</x:v>
      </x:c>
      <x:c r="M324" s="24" t="n">
        <x:f>0.35*(100-D324)+0.10*(100-E324)+0.20*(100-I324)+0.15*J324+0.10*G324+0.10*K324+L324</x:f>
        <x:v>73.736</x:v>
      </x:c>
      <x:c r="N324" t="str">
        <x:f>IF(M324&lt;27,"Low",IF(M324&lt;50,"Medium","High"))</x:f>
        <x:v>High</x:v>
      </x:c>
    </x:row>
    <x:row r="325">
      <x:c r="A325" t="str">
        <x:v>ML322</x:v>
      </x:c>
      <x:c r="B325" s="26" t="n">
        <x:v>4</x:v>
      </x:c>
      <x:c r="C325" s="26" t="n">
        <x:v>7</x:v>
      </x:c>
      <x:c r="D325" s="24" t="n">
        <x:v>62.67</x:v>
      </x:c>
      <x:c r="E325" s="24" t="n">
        <x:v>62.39</x:v>
      </x:c>
      <x:c r="F325" s="24" t="n">
        <x:v>50.01</x:v>
      </x:c>
      <x:c r="G325" s="24" t="n">
        <x:v>9.08</x:v>
      </x:c>
      <x:c r="H325" s="24" t="n">
        <x:v>55.79</x:v>
      </x:c>
      <x:c r="I325" s="24" t="n">
        <x:v>34.92</x:v>
      </x:c>
      <x:c r="J325" s="24" t="n">
        <x:v>28.57</x:v>
      </x:c>
      <x:c r="K325" s="24" t="n">
        <x:v>10.01</x:v>
      </x:c>
      <x:c r="L325" s="24" t="n">
        <x:v>-3.58</x:v>
      </x:c>
      <x:c r="M325" s="24" t="n">
        <x:f>0.35*(100-D325)+0.10*(100-E325)+0.20*(100-I325)+0.15*J325+0.10*G325+0.10*K325+L325</x:f>
        <x:v>32.457</x:v>
      </x:c>
      <x:c r="N325" t="str">
        <x:f>IF(M325&lt;27,"Low",IF(M325&lt;50,"Medium","High"))</x:f>
        <x:v>Medium</x:v>
      </x:c>
    </x:row>
    <x:row r="326">
      <x:c r="A326" t="str">
        <x:v>ML323</x:v>
      </x:c>
      <x:c r="B326" s="26" t="n">
        <x:v>7</x:v>
      </x:c>
      <x:c r="C326" s="26" t="n">
        <x:v>4</x:v>
      </x:c>
      <x:c r="D326" s="24" t="n">
        <x:v>82.58</x:v>
      </x:c>
      <x:c r="E326" s="24" t="n">
        <x:v>80.75</x:v>
      </x:c>
      <x:c r="F326" s="24" t="n">
        <x:v>63.61</x:v>
      </x:c>
      <x:c r="G326" s="24" t="n">
        <x:v>8.63</x:v>
      </x:c>
      <x:c r="H326" s="24" t="n">
        <x:v>76.48</x:v>
      </x:c>
      <x:c r="I326" s="24" t="n">
        <x:v>63.81</x:v>
      </x:c>
      <x:c r="J326" s="24" t="n">
        <x:v>0</x:v>
      </x:c>
      <x:c r="K326" s="24" t="n">
        <x:v>7.43</x:v>
      </x:c>
      <x:c r="L326" s="24" t="n">
        <x:v>-1.71</x:v>
      </x:c>
      <x:c r="M326" s="24" t="n">
        <x:f>0.35*(100-D326)+0.10*(100-E326)+0.20*(100-I326)+0.15*J326+0.10*G326+0.10*K326+L326</x:f>
        <x:v>15.155999999999999</x:v>
      </x:c>
      <x:c r="N326" t="str">
        <x:f>IF(M326&lt;27,"Low",IF(M326&lt;50,"Medium","High"))</x:f>
        <x:v>Low</x:v>
      </x:c>
    </x:row>
    <x:row r="327">
      <x:c r="A327" t="str">
        <x:v>ML324</x:v>
      </x:c>
      <x:c r="B327" s="26" t="n">
        <x:v>5</x:v>
      </x:c>
      <x:c r="C327" s="26" t="n">
        <x:v>10</x:v>
      </x:c>
      <x:c r="D327" s="24" t="n">
        <x:v>75.11</x:v>
      </x:c>
      <x:c r="E327" s="24" t="n">
        <x:v>73.61</x:v>
      </x:c>
      <x:c r="F327" s="24" t="n">
        <x:v>51.54</x:v>
      </x:c>
      <x:c r="G327" s="24" t="n">
        <x:v>17.74</x:v>
      </x:c>
      <x:c r="H327" s="24" t="n">
        <x:v>68.2</x:v>
      </x:c>
      <x:c r="I327" s="24" t="n">
        <x:v>51.65</x:v>
      </x:c>
      <x:c r="J327" s="24" t="n">
        <x:v>0</x:v>
      </x:c>
      <x:c r="K327" s="24" t="n">
        <x:v>9.26</x:v>
      </x:c>
      <x:c r="L327" s="24" t="n">
        <x:v>3.77</x:v>
      </x:c>
      <x:c r="M327" s="24" t="n">
        <x:f>0.35*(100-D327)+0.10*(100-E327)+0.20*(100-I327)+0.15*J327+0.10*G327+0.10*K327+L327</x:f>
        <x:v>27.4905</x:v>
      </x:c>
      <x:c r="N327" t="str">
        <x:f>IF(M327&lt;27,"Low",IF(M327&lt;50,"Medium","High"))</x:f>
        <x:v>Medium</x:v>
      </x:c>
    </x:row>
    <x:row r="328">
      <x:c r="A328" t="str">
        <x:v>ML325</x:v>
      </x:c>
      <x:c r="B328" s="26" t="n">
        <x:v>9</x:v>
      </x:c>
      <x:c r="C328" s="26" t="n">
        <x:v>6</x:v>
      </x:c>
      <x:c r="D328" s="24" t="n">
        <x:v>54.94</x:v>
      </x:c>
      <x:c r="E328" s="24" t="n">
        <x:v>54.2</x:v>
      </x:c>
      <x:c r="F328" s="24" t="n">
        <x:v>39.39</x:v>
      </x:c>
      <x:c r="G328" s="24" t="n">
        <x:v>12.38</x:v>
      </x:c>
      <x:c r="H328" s="24" t="n">
        <x:v>47.28</x:v>
      </x:c>
      <x:c r="I328" s="24" t="n">
        <x:v>26.35</x:v>
      </x:c>
      <x:c r="J328" s="24" t="n">
        <x:v>66.67</x:v>
      </x:c>
      <x:c r="K328" s="24" t="n">
        <x:v>14.08</x:v>
      </x:c>
      <x:c r="L328" s="24" t="n">
        <x:v>1.63</x:v>
      </x:c>
      <x:c r="M328" s="24" t="n">
        <x:f>0.35*(100-D328)+0.10*(100-E328)+0.20*(100-I328)+0.15*J328+0.10*G328+0.10*K328+L328</x:f>
        <x:v>49.35750000000001</x:v>
      </x:c>
      <x:c r="N328" t="str">
        <x:f>IF(M328&lt;27,"Low",IF(M328&lt;50,"Medium","High"))</x:f>
        <x:v>Medium</x:v>
      </x:c>
    </x:row>
    <x:row r="329">
      <x:c r="A329" t="str">
        <x:v>ML326</x:v>
      </x:c>
      <x:c r="B329" s="26" t="n">
        <x:v>9</x:v>
      </x:c>
      <x:c r="C329" s="26" t="n">
        <x:v>10</x:v>
      </x:c>
      <x:c r="D329" s="24" t="n">
        <x:v>61.14</x:v>
      </x:c>
      <x:c r="E329" s="24" t="n">
        <x:v>59.35</x:v>
      </x:c>
      <x:c r="F329" s="24" t="n">
        <x:v>51.8</x:v>
      </x:c>
      <x:c r="G329" s="24" t="n">
        <x:v>5.37</x:v>
      </x:c>
      <x:c r="H329" s="24" t="n">
        <x:v>56.98</x:v>
      </x:c>
      <x:c r="I329" s="24" t="n">
        <x:v>14.46</x:v>
      </x:c>
      <x:c r="J329" s="24" t="n">
        <x:v>20</x:v>
      </x:c>
      <x:c r="K329" s="24" t="n">
        <x:v>20.36</x:v>
      </x:c>
      <x:c r="L329" s="24" t="n">
        <x:v>4.41</x:v>
      </x:c>
      <x:c r="M329" s="24" t="n">
        <x:f>0.35*(100-D329)+0.10*(100-E329)+0.20*(100-I329)+0.15*J329+0.10*G329+0.10*K329+L329</x:f>
        <x:v>44.757000000000005</x:v>
      </x:c>
      <x:c r="N329" t="str">
        <x:f>IF(M329&lt;27,"Low",IF(M329&lt;50,"Medium","High"))</x:f>
        <x:v>Medium</x:v>
      </x:c>
    </x:row>
    <x:row r="330">
      <x:c r="A330" t="str">
        <x:v>ML327</x:v>
      </x:c>
      <x:c r="B330" s="26" t="n">
        <x:v>5</x:v>
      </x:c>
      <x:c r="C330" s="26" t="n">
        <x:v>4</x:v>
      </x:c>
      <x:c r="D330" s="24" t="n">
        <x:v>19.7</x:v>
      </x:c>
      <x:c r="E330" s="24" t="n">
        <x:v>23.58</x:v>
      </x:c>
      <x:c r="F330" s="24" t="n">
        <x:v>11.15</x:v>
      </x:c>
      <x:c r="G330" s="24" t="n">
        <x:v>6.64</x:v>
      </x:c>
      <x:c r="H330" s="24" t="n">
        <x:v>21.5</x:v>
      </x:c>
      <x:c r="I330" s="24" t="n">
        <x:v>1.11</x:v>
      </x:c>
      <x:c r="J330" s="24" t="n">
        <x:v>100</x:v>
      </x:c>
      <x:c r="K330" s="24" t="n">
        <x:v>14.94</x:v>
      </x:c>
      <x:c r="L330" s="24" t="n">
        <x:v>-1.85</x:v>
      </x:c>
      <x:c r="M330" s="24" t="n">
        <x:f>0.35*(100-D330)+0.10*(100-E330)+0.20*(100-I330)+0.15*J330+0.10*G330+0.10*K330+L330</x:f>
        <x:v>70.83300000000001</x:v>
      </x:c>
      <x:c r="N330" t="str">
        <x:f>IF(M330&lt;27,"Low",IF(M330&lt;50,"Medium","High"))</x:f>
        <x:v>High</x:v>
      </x:c>
    </x:row>
    <x:row r="331">
      <x:c r="A331" t="str">
        <x:v>ML328</x:v>
      </x:c>
      <x:c r="B331" s="26" t="n">
        <x:v>7</x:v>
      </x:c>
      <x:c r="C331" s="26" t="n">
        <x:v>4</x:v>
      </x:c>
      <x:c r="D331" s="24" t="n">
        <x:v>60.73</x:v>
      </x:c>
      <x:c r="E331" s="24" t="n">
        <x:v>63.46</x:v>
      </x:c>
      <x:c r="F331" s="24" t="n">
        <x:v>58.96</x:v>
      </x:c>
      <x:c r="G331" s="24" t="n">
        <x:v>4.08</x:v>
      </x:c>
      <x:c r="H331" s="24" t="n">
        <x:v>47</x:v>
      </x:c>
      <x:c r="I331" s="24" t="n">
        <x:v>33.27</x:v>
      </x:c>
      <x:c r="J331" s="24" t="n">
        <x:v>50</x:v>
      </x:c>
      <x:c r="K331" s="24" t="n">
        <x:v>11.39</x:v>
      </x:c>
      <x:c r="L331" s="24" t="n">
        <x:v>-0.69</x:v>
      </x:c>
      <x:c r="M331" s="24" t="n">
        <x:f>0.35*(100-D331)+0.10*(100-E331)+0.20*(100-I331)+0.15*J331+0.10*G331+0.10*K331+L331</x:f>
        <x:v>39.1015</x:v>
      </x:c>
      <x:c r="N331" t="str">
        <x:f>IF(M331&lt;27,"Low",IF(M331&lt;50,"Medium","High"))</x:f>
        <x:v>Medium</x:v>
      </x:c>
    </x:row>
    <x:row r="332">
      <x:c r="A332" t="str">
        <x:v>ML329</x:v>
      </x:c>
      <x:c r="B332" s="26" t="n">
        <x:v>8</x:v>
      </x:c>
      <x:c r="C332" s="26" t="n">
        <x:v>4</x:v>
      </x:c>
      <x:c r="D332" s="24" t="n">
        <x:v>59.6</x:v>
      </x:c>
      <x:c r="E332" s="24" t="n">
        <x:v>62.92</x:v>
      </x:c>
      <x:c r="F332" s="24" t="n">
        <x:v>51.48</x:v>
      </x:c>
      <x:c r="G332" s="24" t="n">
        <x:v>6.74</x:v>
      </x:c>
      <x:c r="H332" s="24" t="n">
        <x:v>64.51</x:v>
      </x:c>
      <x:c r="I332" s="24" t="n">
        <x:v>49.75</x:v>
      </x:c>
      <x:c r="J332" s="24" t="n">
        <x:v>25</x:v>
      </x:c>
      <x:c r="K332" s="24" t="n">
        <x:v>12.24</x:v>
      </x:c>
      <x:c r="L332" s="24" t="n">
        <x:v>3.69</x:v>
      </x:c>
      <x:c r="M332" s="24" t="n">
        <x:f>0.35*(100-D332)+0.10*(100-E332)+0.20*(100-I332)+0.15*J332+0.10*G332+0.10*K332+L332</x:f>
        <x:v>37.236000000000004</x:v>
      </x:c>
      <x:c r="N332" t="str">
        <x:f>IF(M332&lt;27,"Low",IF(M332&lt;50,"Medium","High"))</x:f>
        <x:v>Medium</x:v>
      </x:c>
    </x:row>
    <x:row r="333">
      <x:c r="A333" t="str">
        <x:v>ML330</x:v>
      </x:c>
      <x:c r="B333" s="26" t="n">
        <x:v>9</x:v>
      </x:c>
      <x:c r="C333" s="26" t="n">
        <x:v>8</x:v>
      </x:c>
      <x:c r="D333" s="24" t="n">
        <x:v>77.47</x:v>
      </x:c>
      <x:c r="E333" s="24" t="n">
        <x:v>76.77</x:v>
      </x:c>
      <x:c r="F333" s="24" t="n">
        <x:v>69.4</x:v>
      </x:c>
      <x:c r="G333" s="24" t="n">
        <x:v>5.1</x:v>
      </x:c>
      <x:c r="H333" s="24" t="n">
        <x:v>68.18</x:v>
      </x:c>
      <x:c r="I333" s="24" t="n">
        <x:v>49.65</x:v>
      </x:c>
      <x:c r="J333" s="24" t="n">
        <x:v>12.5</x:v>
      </x:c>
      <x:c r="K333" s="24" t="n">
        <x:v>9.87</x:v>
      </x:c>
      <x:c r="L333" s="24" t="n">
        <x:v>0.47</x:v>
      </x:c>
      <x:c r="M333" s="24" t="n">
        <x:f>0.35*(100-D333)+0.10*(100-E333)+0.20*(100-I333)+0.15*J333+0.10*G333+0.10*K333+L333</x:f>
        <x:v>24.1205</x:v>
      </x:c>
      <x:c r="N333" t="str">
        <x:f>IF(M333&lt;27,"Low",IF(M333&lt;50,"Medium","High"))</x:f>
        <x:v>Low</x:v>
      </x:c>
    </x:row>
    <x:row r="334">
      <x:c r="A334" t="str">
        <x:v>ML331</x:v>
      </x:c>
      <x:c r="B334" s="26" t="n">
        <x:v>9</x:v>
      </x:c>
      <x:c r="C334" s="26" t="n">
        <x:v>6</x:v>
      </x:c>
      <x:c r="D334" s="24" t="n">
        <x:v>33.72</x:v>
      </x:c>
      <x:c r="E334" s="24" t="n">
        <x:v>34.34</x:v>
      </x:c>
      <x:c r="F334" s="24" t="n">
        <x:v>22.27</x:v>
      </x:c>
      <x:c r="G334" s="24" t="n">
        <x:v>10.26</x:v>
      </x:c>
      <x:c r="H334" s="24" t="n">
        <x:v>41.2</x:v>
      </x:c>
      <x:c r="I334" s="24" t="n">
        <x:v>30.13</x:v>
      </x:c>
      <x:c r="J334" s="24" t="n">
        <x:v>83.33</x:v>
      </x:c>
      <x:c r="K334" s="24" t="n">
        <x:v>11.16</x:v>
      </x:c>
      <x:c r="L334" s="24" t="n">
        <x:v>8.06</x:v>
      </x:c>
      <x:c r="M334" s="24" t="n">
        <x:f>0.35*(100-D334)+0.10*(100-E334)+0.20*(100-I334)+0.15*J334+0.10*G334+0.10*K334+L334</x:f>
        <x:v>66.4395</x:v>
      </x:c>
      <x:c r="N334" t="str">
        <x:f>IF(M334&lt;27,"Low",IF(M334&lt;50,"Medium","High"))</x:f>
        <x:v>High</x:v>
      </x:c>
    </x:row>
    <x:row r="335">
      <x:c r="A335" t="str">
        <x:v>ML332</x:v>
      </x:c>
      <x:c r="B335" s="26" t="n">
        <x:v>9</x:v>
      </x:c>
      <x:c r="C335" s="26" t="n">
        <x:v>6</x:v>
      </x:c>
      <x:c r="D335" s="24" t="n">
        <x:v>83.52</x:v>
      </x:c>
      <x:c r="E335" s="24" t="n">
        <x:v>81.45</x:v>
      </x:c>
      <x:c r="F335" s="24" t="n">
        <x:v>74.36</x:v>
      </x:c>
      <x:c r="G335" s="24" t="n">
        <x:v>7.6</x:v>
      </x:c>
      <x:c r="H335" s="24" t="n">
        <x:v>70.93</x:v>
      </x:c>
      <x:c r="I335" s="24" t="n">
        <x:v>54.21</x:v>
      </x:c>
      <x:c r="J335" s="24" t="n">
        <x:v>0</x:v>
      </x:c>
      <x:c r="K335" s="24" t="n">
        <x:v>13.93</x:v>
      </x:c>
      <x:c r="L335" s="24" t="n">
        <x:v>0.68</x:v>
      </x:c>
      <x:c r="M335" s="24" t="n">
        <x:f>0.35*(100-D335)+0.10*(100-E335)+0.20*(100-I335)+0.15*J335+0.10*G335+0.10*K335+L335</x:f>
        <x:v>19.614</x:v>
      </x:c>
      <x:c r="N335" t="str">
        <x:f>IF(M335&lt;27,"Low",IF(M335&lt;50,"Medium","High"))</x:f>
        <x:v>Low</x:v>
      </x:c>
    </x:row>
    <x:row r="336">
      <x:c r="A336" t="str">
        <x:v>ML333</x:v>
      </x:c>
      <x:c r="B336" s="26" t="n">
        <x:v>9</x:v>
      </x:c>
      <x:c r="C336" s="26" t="n">
        <x:v>9</x:v>
      </x:c>
      <x:c r="D336" s="24" t="n">
        <x:v>59.56</x:v>
      </x:c>
      <x:c r="E336" s="24" t="n">
        <x:v>63.52</x:v>
      </x:c>
      <x:c r="F336" s="24" t="n">
        <x:v>51</x:v>
      </x:c>
      <x:c r="G336" s="24" t="n">
        <x:v>10.06</x:v>
      </x:c>
      <x:c r="H336" s="24" t="n">
        <x:v>52.08</x:v>
      </x:c>
      <x:c r="I336" s="24" t="n">
        <x:v>26.58</x:v>
      </x:c>
      <x:c r="J336" s="24" t="n">
        <x:v>33.33</x:v>
      </x:c>
      <x:c r="K336" s="24" t="n">
        <x:v>11.82</x:v>
      </x:c>
      <x:c r="L336" s="24" t="n">
        <x:v>-0.72</x:v>
      </x:c>
      <x:c r="M336" s="24" t="n">
        <x:f>0.35*(100-D336)+0.10*(100-E336)+0.20*(100-I336)+0.15*J336+0.10*G336+0.10*K336+L336</x:f>
        <x:v>38.953500000000005</x:v>
      </x:c>
      <x:c r="N336" t="str">
        <x:f>IF(M336&lt;27,"Low",IF(M336&lt;50,"Medium","High"))</x:f>
        <x:v>Medium</x:v>
      </x:c>
    </x:row>
    <x:row r="337">
      <x:c r="A337" t="str">
        <x:v>ML334</x:v>
      </x:c>
      <x:c r="B337" s="26" t="n">
        <x:v>8</x:v>
      </x:c>
      <x:c r="C337" s="26" t="n">
        <x:v>6</x:v>
      </x:c>
      <x:c r="D337" s="24" t="n">
        <x:v>40.32</x:v>
      </x:c>
      <x:c r="E337" s="24" t="n">
        <x:v>35.45</x:v>
      </x:c>
      <x:c r="F337" s="24" t="n">
        <x:v>26.5</x:v>
      </x:c>
      <x:c r="G337" s="24" t="n">
        <x:v>5.98</x:v>
      </x:c>
      <x:c r="H337" s="24" t="n">
        <x:v>32.96</x:v>
      </x:c>
      <x:c r="I337" s="24" t="n">
        <x:v>25.73</x:v>
      </x:c>
      <x:c r="J337" s="24" t="n">
        <x:v>83.33</x:v>
      </x:c>
      <x:c r="K337" s="24" t="n">
        <x:v>8.09</x:v>
      </x:c>
      <x:c r="L337" s="24" t="n">
        <x:v>-2.81</x:v>
      </x:c>
      <x:c r="M337" s="24" t="n">
        <x:f>0.35*(100-D337)+0.10*(100-E337)+0.20*(100-I337)+0.15*J337+0.10*G337+0.10*K337+L337</x:f>
        <x:v>53.29349999999999</x:v>
      </x:c>
      <x:c r="N337" t="str">
        <x:f>IF(M337&lt;27,"Low",IF(M337&lt;50,"Medium","High"))</x:f>
        <x:v>High</x:v>
      </x:c>
    </x:row>
    <x:row r="338">
      <x:c r="A338" t="str">
        <x:v>ML335</x:v>
      </x:c>
      <x:c r="B338" s="26" t="n">
        <x:v>8</x:v>
      </x:c>
      <x:c r="C338" s="26" t="n">
        <x:v>10</x:v>
      </x:c>
      <x:c r="D338" s="24" t="n">
        <x:v>82.04</x:v>
      </x:c>
      <x:c r="E338" s="24" t="n">
        <x:v>79.01</x:v>
      </x:c>
      <x:c r="F338" s="24" t="n">
        <x:v>68.02</x:v>
      </x:c>
      <x:c r="G338" s="24" t="n">
        <x:v>5.83</x:v>
      </x:c>
      <x:c r="H338" s="24" t="n">
        <x:v>80.58</x:v>
      </x:c>
      <x:c r="I338" s="24" t="n">
        <x:v>64.38</x:v>
      </x:c>
      <x:c r="J338" s="24" t="n">
        <x:v>0</x:v>
      </x:c>
      <x:c r="K338" s="24" t="n">
        <x:v>9.35</x:v>
      </x:c>
      <x:c r="L338" s="24" t="n">
        <x:v>1.85</x:v>
      </x:c>
      <x:c r="M338" s="24" t="n">
        <x:f>0.35*(100-D338)+0.10*(100-E338)+0.20*(100-I338)+0.15*J338+0.10*G338+0.10*K338+L338</x:f>
        <x:v>18.877</x:v>
      </x:c>
      <x:c r="N338" t="str">
        <x:f>IF(M338&lt;27,"Low",IF(M338&lt;50,"Medium","High"))</x:f>
        <x:v>Low</x:v>
      </x:c>
    </x:row>
    <x:row r="339">
      <x:c r="A339" t="str">
        <x:v>ML336</x:v>
      </x:c>
      <x:c r="B339" s="26" t="n">
        <x:v>5</x:v>
      </x:c>
      <x:c r="C339" s="26" t="n">
        <x:v>6</x:v>
      </x:c>
      <x:c r="D339" s="24" t="n">
        <x:v>53.63</x:v>
      </x:c>
      <x:c r="E339" s="24" t="n">
        <x:v>56.32</x:v>
      </x:c>
      <x:c r="F339" s="24" t="n">
        <x:v>36.21</x:v>
      </x:c>
      <x:c r="G339" s="24" t="n">
        <x:v>11.21</x:v>
      </x:c>
      <x:c r="H339" s="24" t="n">
        <x:v>59</x:v>
      </x:c>
      <x:c r="I339" s="24" t="n">
        <x:v>45.79</x:v>
      </x:c>
      <x:c r="J339" s="24" t="n">
        <x:v>16.67</x:v>
      </x:c>
      <x:c r="K339" s="24" t="n">
        <x:v>9.35</x:v>
      </x:c>
      <x:c r="L339" s="24" t="n">
        <x:v>1.98</x:v>
      </x:c>
      <x:c r="M339" s="24" t="n">
        <x:f>0.35*(100-D339)+0.10*(100-E339)+0.20*(100-I339)+0.15*J339+0.10*G339+0.10*K339+L339</x:f>
        <x:v>37.976</x:v>
      </x:c>
      <x:c r="N339" t="str">
        <x:f>IF(M339&lt;27,"Low",IF(M339&lt;50,"Medium","High"))</x:f>
        <x:v>Medium</x:v>
      </x:c>
    </x:row>
    <x:row r="340">
      <x:c r="A340" t="str">
        <x:v>ML337</x:v>
      </x:c>
      <x:c r="B340" s="26" t="n">
        <x:v>8</x:v>
      </x:c>
      <x:c r="C340" s="26" t="n">
        <x:v>7</x:v>
      </x:c>
      <x:c r="D340" s="24" t="n">
        <x:v>84.65</x:v>
      </x:c>
      <x:c r="E340" s="24" t="n">
        <x:v>82.22</x:v>
      </x:c>
      <x:c r="F340" s="24" t="n">
        <x:v>76.17</x:v>
      </x:c>
      <x:c r="G340" s="24" t="n">
        <x:v>4.67</x:v>
      </x:c>
      <x:c r="H340" s="24" t="n">
        <x:v>71.59</x:v>
      </x:c>
      <x:c r="I340" s="24" t="n">
        <x:v>39.32</x:v>
      </x:c>
      <x:c r="J340" s="24" t="n">
        <x:v>14.29</x:v>
      </x:c>
      <x:c r="K340" s="24" t="n">
        <x:v>16.83</x:v>
      </x:c>
      <x:c r="L340" s="24" t="n">
        <x:v>3.49</x:v>
      </x:c>
      <x:c r="M340" s="24" t="n">
        <x:f>0.35*(100-D340)+0.10*(100-E340)+0.20*(100-I340)+0.15*J340+0.10*G340+0.10*K340+L340</x:f>
        <x:v>27.07</x:v>
      </x:c>
      <x:c r="N340" t="str">
        <x:f>IF(M340&lt;27,"Low",IF(M340&lt;50,"Medium","High"))</x:f>
        <x:v>Medium</x:v>
      </x:c>
    </x:row>
    <x:row r="341">
      <x:c r="A341" t="str">
        <x:v>ML338</x:v>
      </x:c>
      <x:c r="B341" s="26" t="n">
        <x:v>5</x:v>
      </x:c>
      <x:c r="C341" s="26" t="n">
        <x:v>9</x:v>
      </x:c>
      <x:c r="D341" s="24" t="n">
        <x:v>41.16</x:v>
      </x:c>
      <x:c r="E341" s="24" t="n">
        <x:v>42.12</x:v>
      </x:c>
      <x:c r="F341" s="24" t="n">
        <x:v>35.39</x:v>
      </x:c>
      <x:c r="G341" s="24" t="n">
        <x:v>5.31</x:v>
      </x:c>
      <x:c r="H341" s="24" t="n">
        <x:v>40.94</x:v>
      </x:c>
      <x:c r="I341" s="24" t="n">
        <x:v>28.69</x:v>
      </x:c>
      <x:c r="J341" s="24" t="n">
        <x:v>77.78</x:v>
      </x:c>
      <x:c r="K341" s="24" t="n">
        <x:v>8.3</x:v>
      </x:c>
      <x:c r="L341" s="24" t="n">
        <x:v>2.34</x:v>
      </x:c>
      <x:c r="M341" s="24" t="n">
        <x:f>0.35*(100-D341)+0.10*(100-E341)+0.20*(100-I341)+0.15*J341+0.10*G341+0.10*K341+L341</x:f>
        <x:v>56.012</x:v>
      </x:c>
      <x:c r="N341" t="str">
        <x:f>IF(M341&lt;27,"Low",IF(M341&lt;50,"Medium","High"))</x:f>
        <x:v>High</x:v>
      </x:c>
    </x:row>
    <x:row r="342">
      <x:c r="A342" t="str">
        <x:v>ML339</x:v>
      </x:c>
      <x:c r="B342" s="26" t="n">
        <x:v>8</x:v>
      </x:c>
      <x:c r="C342" s="26" t="n">
        <x:v>5</x:v>
      </x:c>
      <x:c r="D342" s="24" t="n">
        <x:v>71.47</x:v>
      </x:c>
      <x:c r="E342" s="24" t="n">
        <x:v>73.01</x:v>
      </x:c>
      <x:c r="F342" s="24" t="n">
        <x:v>59.3</x:v>
      </x:c>
      <x:c r="G342" s="24" t="n">
        <x:v>8.99</x:v>
      </x:c>
      <x:c r="H342" s="24" t="n">
        <x:v>70.02</x:v>
      </x:c>
      <x:c r="I342" s="24" t="n">
        <x:v>61.55</x:v>
      </x:c>
      <x:c r="J342" s="24" t="n">
        <x:v>0</x:v>
      </x:c>
      <x:c r="K342" s="24" t="n">
        <x:v>6.1</x:v>
      </x:c>
      <x:c r="L342" s="24" t="n">
        <x:v>-3.41</x:v>
      </x:c>
      <x:c r="M342" s="24" t="n">
        <x:f>0.35*(100-D342)+0.10*(100-E342)+0.20*(100-I342)+0.15*J342+0.10*G342+0.10*K342+L342</x:f>
        <x:v>18.4735</x:v>
      </x:c>
      <x:c r="N342" t="str">
        <x:f>IF(M342&lt;27,"Low",IF(M342&lt;50,"Medium","High"))</x:f>
        <x:v>Low</x:v>
      </x:c>
    </x:row>
    <x:row r="343">
      <x:c r="A343" t="str">
        <x:v>ML340</x:v>
      </x:c>
      <x:c r="B343" s="26" t="n">
        <x:v>5</x:v>
      </x:c>
      <x:c r="C343" s="26" t="n">
        <x:v>9</x:v>
      </x:c>
      <x:c r="D343" s="24" t="n">
        <x:v>28.42</x:v>
      </x:c>
      <x:c r="E343" s="24" t="n">
        <x:v>29</x:v>
      </x:c>
      <x:c r="F343" s="24" t="n">
        <x:v>20.45</x:v>
      </x:c>
      <x:c r="G343" s="24" t="n">
        <x:v>7.2</x:v>
      </x:c>
      <x:c r="H343" s="24" t="n">
        <x:v>24.63</x:v>
      </x:c>
      <x:c r="I343" s="24" t="n">
        <x:v>0</x:v>
      </x:c>
      <x:c r="J343" s="24" t="n">
        <x:v>88.89</x:v>
      </x:c>
      <x:c r="K343" s="24" t="n">
        <x:v>17.28</x:v>
      </x:c>
      <x:c r="L343" s="24" t="n">
        <x:v>7.65</x:v>
      </x:c>
      <x:c r="M343" s="24" t="n">
        <x:f>0.35*(100-D343)+0.10*(100-E343)+0.20*(100-I343)+0.15*J343+0.10*G343+0.10*K343+L343</x:f>
        <x:v>75.58449999999999</x:v>
      </x:c>
      <x:c r="N343" t="str">
        <x:f>IF(M343&lt;27,"Low",IF(M343&lt;50,"Medium","High"))</x:f>
        <x:v>High</x:v>
      </x:c>
    </x:row>
    <x:row r="344">
      <x:c r="A344" t="str">
        <x:v>ML341</x:v>
      </x:c>
      <x:c r="B344" s="26" t="n">
        <x:v>9</x:v>
      </x:c>
      <x:c r="C344" s="26" t="n">
        <x:v>8</x:v>
      </x:c>
      <x:c r="D344" s="24" t="n">
        <x:v>89.02</x:v>
      </x:c>
      <x:c r="E344" s="24" t="n">
        <x:v>87.23</x:v>
      </x:c>
      <x:c r="F344" s="24" t="n">
        <x:v>73.57</x:v>
      </x:c>
      <x:c r="G344" s="24" t="n">
        <x:v>9.82</x:v>
      </x:c>
      <x:c r="H344" s="24" t="n">
        <x:v>86.67</x:v>
      </x:c>
      <x:c r="I344" s="24" t="n">
        <x:v>77.01</x:v>
      </x:c>
      <x:c r="J344" s="24" t="n">
        <x:v>0</x:v>
      </x:c>
      <x:c r="K344" s="24" t="n">
        <x:v>6.12</x:v>
      </x:c>
      <x:c r="L344" s="24" t="n">
        <x:v>0.5</x:v>
      </x:c>
      <x:c r="M344" s="24" t="n">
        <x:f>0.35*(100-D344)+0.10*(100-E344)+0.20*(100-I344)+0.15*J344+0.10*G344+0.10*K344+L344</x:f>
        <x:v>11.812</x:v>
      </x:c>
      <x:c r="N344" t="str">
        <x:f>IF(M344&lt;27,"Low",IF(M344&lt;50,"Medium","High"))</x:f>
        <x:v>Low</x:v>
      </x:c>
    </x:row>
    <x:row r="345">
      <x:c r="A345" t="str">
        <x:v>ML342</x:v>
      </x:c>
      <x:c r="B345" s="26" t="n">
        <x:v>6</x:v>
      </x:c>
      <x:c r="C345" s="26" t="n">
        <x:v>8</x:v>
      </x:c>
      <x:c r="D345" s="24" t="n">
        <x:v>27.76</x:v>
      </x:c>
      <x:c r="E345" s="24" t="n">
        <x:v>31.05</x:v>
      </x:c>
      <x:c r="F345" s="24" t="n">
        <x:v>18.84</x:v>
      </x:c>
      <x:c r="G345" s="24" t="n">
        <x:v>6.93</x:v>
      </x:c>
      <x:c r="H345" s="24" t="n">
        <x:v>16.63</x:v>
      </x:c>
      <x:c r="I345" s="24" t="n">
        <x:v>0</x:v>
      </x:c>
      <x:c r="J345" s="24" t="n">
        <x:v>100</x:v>
      </x:c>
      <x:c r="K345" s="24" t="n">
        <x:v>15.11</x:v>
      </x:c>
      <x:c r="L345" s="24" t="n">
        <x:v>-2.35</x:v>
      </x:c>
      <x:c r="M345" s="24" t="n">
        <x:f>0.35*(100-D345)+0.10*(100-E345)+0.20*(100-I345)+0.15*J345+0.10*G345+0.10*K345+L345</x:f>
        <x:v>67.033</x:v>
      </x:c>
      <x:c r="N345" t="str">
        <x:f>IF(M345&lt;27,"Low",IF(M345&lt;50,"Medium","High"))</x:f>
        <x:v>High</x:v>
      </x:c>
    </x:row>
    <x:row r="346">
      <x:c r="A346" t="str">
        <x:v>ML343</x:v>
      </x:c>
      <x:c r="B346" s="26" t="n">
        <x:v>7</x:v>
      </x:c>
      <x:c r="C346" s="26" t="n">
        <x:v>9</x:v>
      </x:c>
      <x:c r="D346" s="24" t="n">
        <x:v>20.57</x:v>
      </x:c>
      <x:c r="E346" s="24" t="n">
        <x:v>17.26</x:v>
      </x:c>
      <x:c r="F346" s="24" t="n">
        <x:v>2.7</x:v>
      </x:c>
      <x:c r="G346" s="24" t="n">
        <x:v>12.24</x:v>
      </x:c>
      <x:c r="H346" s="24" t="n">
        <x:v>19.83</x:v>
      </x:c>
      <x:c r="I346" s="24" t="n">
        <x:v>0</x:v>
      </x:c>
      <x:c r="J346" s="24" t="n">
        <x:v>100</x:v>
      </x:c>
      <x:c r="K346" s="24" t="n">
        <x:v>9.36</x:v>
      </x:c>
      <x:c r="L346" s="24" t="n">
        <x:v>1.02</x:v>
      </x:c>
      <x:c r="M346" s="24" t="n">
        <x:f>0.35*(100-D346)+0.10*(100-E346)+0.20*(100-I346)+0.15*J346+0.10*G346+0.10*K346+L346</x:f>
        <x:v>74.2545</x:v>
      </x:c>
      <x:c r="N346" t="str">
        <x:f>IF(M346&lt;27,"Low",IF(M346&lt;50,"Medium","High"))</x:f>
        <x:v>High</x:v>
      </x:c>
    </x:row>
    <x:row r="347">
      <x:c r="A347" t="str">
        <x:v>ML344</x:v>
      </x:c>
      <x:c r="B347" s="26" t="n">
        <x:v>7</x:v>
      </x:c>
      <x:c r="C347" s="26" t="n">
        <x:v>4</x:v>
      </x:c>
      <x:c r="D347" s="24" t="n">
        <x:v>44.3</x:v>
      </x:c>
      <x:c r="E347" s="24" t="n">
        <x:v>46.49</x:v>
      </x:c>
      <x:c r="F347" s="24" t="n">
        <x:v>32.22</x:v>
      </x:c>
      <x:c r="G347" s="24" t="n">
        <x:v>7.86</x:v>
      </x:c>
      <x:c r="H347" s="24" t="n">
        <x:v>48.53</x:v>
      </x:c>
      <x:c r="I347" s="24" t="n">
        <x:v>33.68</x:v>
      </x:c>
      <x:c r="J347" s="24" t="n">
        <x:v>50</x:v>
      </x:c>
      <x:c r="K347" s="24" t="n">
        <x:v>9.64</x:v>
      </x:c>
      <x:c r="L347" s="24" t="n">
        <x:v>-0.65</x:v>
      </x:c>
      <x:c r="M347" s="24" t="n">
        <x:f>0.35*(100-D347)+0.10*(100-E347)+0.20*(100-I347)+0.15*J347+0.10*G347+0.10*K347+L347</x:f>
        <x:v>46.71</x:v>
      </x:c>
      <x:c r="N347" t="str">
        <x:f>IF(M347&lt;27,"Low",IF(M347&lt;50,"Medium","High"))</x:f>
        <x:v>Medium</x:v>
      </x:c>
    </x:row>
    <x:row r="348">
      <x:c r="A348" t="str">
        <x:v>ML345</x:v>
      </x:c>
      <x:c r="B348" s="26" t="n">
        <x:v>7</x:v>
      </x:c>
      <x:c r="C348" s="26" t="n">
        <x:v>4</x:v>
      </x:c>
      <x:c r="D348" s="24" t="n">
        <x:v>40.57</x:v>
      </x:c>
      <x:c r="E348" s="24" t="n">
        <x:v>42.34</x:v>
      </x:c>
      <x:c r="F348" s="24" t="n">
        <x:v>23.28</x:v>
      </x:c>
      <x:c r="G348" s="24" t="n">
        <x:v>12.12</x:v>
      </x:c>
      <x:c r="H348" s="24" t="n">
        <x:v>49.53</x:v>
      </x:c>
      <x:c r="I348" s="24" t="n">
        <x:v>42.52</x:v>
      </x:c>
      <x:c r="J348" s="24" t="n">
        <x:v>50</x:v>
      </x:c>
      <x:c r="K348" s="24" t="n">
        <x:v>4.59</x:v>
      </x:c>
      <x:c r="L348" s="24" t="n">
        <x:v>-4.14</x:v>
      </x:c>
      <x:c r="M348" s="24" t="n">
        <x:f>0.35*(100-D348)+0.10*(100-E348)+0.20*(100-I348)+0.15*J348+0.10*G348+0.10*K348+L348</x:f>
        <x:v>43.093500000000006</x:v>
      </x:c>
      <x:c r="N348" t="str">
        <x:f>IF(M348&lt;27,"Low",IF(M348&lt;50,"Medium","High"))</x:f>
        <x:v>Medium</x:v>
      </x:c>
    </x:row>
    <x:row r="349">
      <x:c r="A349" t="str">
        <x:v>ML346</x:v>
      </x:c>
      <x:c r="B349" s="26" t="n">
        <x:v>7</x:v>
      </x:c>
      <x:c r="C349" s="26" t="n">
        <x:v>7</x:v>
      </x:c>
      <x:c r="D349" s="24" t="n">
        <x:v>46.29</x:v>
      </x:c>
      <x:c r="E349" s="24" t="n">
        <x:v>42.99</x:v>
      </x:c>
      <x:c r="F349" s="24" t="n">
        <x:v>27.73</x:v>
      </x:c>
      <x:c r="G349" s="24" t="n">
        <x:v>10.11</x:v>
      </x:c>
      <x:c r="H349" s="24" t="n">
        <x:v>37.39</x:v>
      </x:c>
      <x:c r="I349" s="24" t="n">
        <x:v>13.39</x:v>
      </x:c>
      <x:c r="J349" s="24" t="n">
        <x:v>71.43</x:v>
      </x:c>
      <x:c r="K349" s="24" t="n">
        <x:v>15.55</x:v>
      </x:c>
      <x:c r="L349" s="24" t="n">
        <x:v>-3.64</x:v>
      </x:c>
      <x:c r="M349" s="24" t="n">
        <x:f>0.35*(100-D349)+0.10*(100-E349)+0.20*(100-I349)+0.15*J349+0.10*G349+0.10*K349+L349</x:f>
        <x:v>51.462</x:v>
      </x:c>
      <x:c r="N349" t="str">
        <x:f>IF(M349&lt;27,"Low",IF(M349&lt;50,"Medium","High"))</x:f>
        <x:v>High</x:v>
      </x:c>
    </x:row>
    <x:row r="350">
      <x:c r="A350" t="str">
        <x:v>ML347</x:v>
      </x:c>
      <x:c r="B350" s="26" t="n">
        <x:v>4</x:v>
      </x:c>
      <x:c r="C350" s="26" t="n">
        <x:v>6</x:v>
      </x:c>
      <x:c r="D350" s="24" t="n">
        <x:v>44.74</x:v>
      </x:c>
      <x:c r="E350" s="24" t="n">
        <x:v>43.95</x:v>
      </x:c>
      <x:c r="F350" s="24" t="n">
        <x:v>39.67</x:v>
      </x:c>
      <x:c r="G350" s="24" t="n">
        <x:v>2.75</x:v>
      </x:c>
      <x:c r="H350" s="24" t="n">
        <x:v>30.38</x:v>
      </x:c>
      <x:c r="I350" s="24" t="n">
        <x:v>9.39</x:v>
      </x:c>
      <x:c r="J350" s="24" t="n">
        <x:v>100</x:v>
      </x:c>
      <x:c r="K350" s="24" t="n">
        <x:v>11.43</x:v>
      </x:c>
      <x:c r="L350" s="24" t="n">
        <x:v>3.7</x:v>
      </x:c>
      <x:c r="M350" s="24" t="n">
        <x:f>0.35*(100-D350)+0.10*(100-E350)+0.20*(100-I350)+0.15*J350+0.10*G350+0.10*K350+L350</x:f>
        <x:v>63.186</x:v>
      </x:c>
      <x:c r="N350" t="str">
        <x:f>IF(M350&lt;27,"Low",IF(M350&lt;50,"Medium","High"))</x:f>
        <x:v>High</x:v>
      </x:c>
    </x:row>
    <x:row r="351">
      <x:c r="A351" t="str">
        <x:v>ML348</x:v>
      </x:c>
      <x:c r="B351" s="26" t="n">
        <x:v>7</x:v>
      </x:c>
      <x:c r="C351" s="26" t="n">
        <x:v>7</x:v>
      </x:c>
      <x:c r="D351" s="24" t="n">
        <x:v>89.84</x:v>
      </x:c>
      <x:c r="E351" s="24" t="n">
        <x:v>89.67</x:v>
      </x:c>
      <x:c r="F351" s="24" t="n">
        <x:v>78.32</x:v>
      </x:c>
      <x:c r="G351" s="24" t="n">
        <x:v>6.07</x:v>
      </x:c>
      <x:c r="H351" s="24" t="n">
        <x:v>89.19</x:v>
      </x:c>
      <x:c r="I351" s="24" t="n">
        <x:v>78.13</x:v>
      </x:c>
      <x:c r="J351" s="24" t="n">
        <x:v>0</x:v>
      </x:c>
      <x:c r="K351" s="24" t="n">
        <x:v>8.83</x:v>
      </x:c>
      <x:c r="L351" s="24" t="n">
        <x:v>1.55</x:v>
      </x:c>
      <x:c r="M351" s="24" t="n">
        <x:f>0.35*(100-D351)+0.10*(100-E351)+0.20*(100-I351)+0.15*J351+0.10*G351+0.10*K351+L351</x:f>
        <x:v>12.003</x:v>
      </x:c>
      <x:c r="N351" t="str">
        <x:f>IF(M351&lt;27,"Low",IF(M351&lt;50,"Medium","High"))</x:f>
        <x:v>Low</x:v>
      </x:c>
    </x:row>
    <x:row r="352">
      <x:c r="A352" t="str">
        <x:v>ML349</x:v>
      </x:c>
      <x:c r="B352" s="26" t="n">
        <x:v>5</x:v>
      </x:c>
      <x:c r="C352" s="26" t="n">
        <x:v>6</x:v>
      </x:c>
      <x:c r="D352" s="24" t="n">
        <x:v>38.71</x:v>
      </x:c>
      <x:c r="E352" s="24" t="n">
        <x:v>37.96</x:v>
      </x:c>
      <x:c r="F352" s="24" t="n">
        <x:v>28.03</x:v>
      </x:c>
      <x:c r="G352" s="24" t="n">
        <x:v>6.35</x:v>
      </x:c>
      <x:c r="H352" s="24" t="n">
        <x:v>32.85</x:v>
      </x:c>
      <x:c r="I352" s="24" t="n">
        <x:v>8.55</x:v>
      </x:c>
      <x:c r="J352" s="24" t="n">
        <x:v>83.33</x:v>
      </x:c>
      <x:c r="K352" s="24" t="n">
        <x:v>14.02</x:v>
      </x:c>
      <x:c r="L352" s="24" t="n">
        <x:v>3.27</x:v>
      </x:c>
      <x:c r="M352" s="24" t="n">
        <x:f>0.35*(100-D352)+0.10*(100-E352)+0.20*(100-I352)+0.15*J352+0.10*G352+0.10*K352+L352</x:f>
        <x:v>63.752</x:v>
      </x:c>
      <x:c r="N352" t="str">
        <x:f>IF(M352&lt;27,"Low",IF(M352&lt;50,"Medium","High"))</x:f>
        <x:v>High</x:v>
      </x:c>
    </x:row>
    <x:row r="353">
      <x:c r="A353" t="str">
        <x:v>ML350</x:v>
      </x:c>
      <x:c r="B353" s="26" t="n">
        <x:v>4</x:v>
      </x:c>
      <x:c r="C353" s="26" t="n">
        <x:v>4</x:v>
      </x:c>
      <x:c r="D353" s="24" t="n">
        <x:v>83.96</x:v>
      </x:c>
      <x:c r="E353" s="24" t="n">
        <x:v>84.68</x:v>
      </x:c>
      <x:c r="F353" s="24" t="n">
        <x:v>72.47</x:v>
      </x:c>
      <x:c r="G353" s="24" t="n">
        <x:v>8.24</x:v>
      </x:c>
      <x:c r="H353" s="24" t="n">
        <x:v>81.84</x:v>
      </x:c>
      <x:c r="I353" s="24" t="n">
        <x:v>68.24</x:v>
      </x:c>
      <x:c r="J353" s="24" t="n">
        <x:v>0</x:v>
      </x:c>
      <x:c r="K353" s="24" t="n">
        <x:v>11.68</x:v>
      </x:c>
      <x:c r="L353" s="24" t="n">
        <x:v>0.57</x:v>
      </x:c>
      <x:c r="M353" s="24" t="n">
        <x:f>0.35*(100-D353)+0.10*(100-E353)+0.20*(100-I353)+0.15*J353+0.10*G353+0.10*K353+L353</x:f>
        <x:v>16.06</x:v>
      </x:c>
      <x:c r="N353" t="str">
        <x:f>IF(M353&lt;27,"Low",IF(M353&lt;50,"Medium","High"))</x:f>
        <x:v>Low</x:v>
      </x:c>
    </x:row>
    <x:row r="354">
      <x:c r="A354" t="str">
        <x:v>ML351</x:v>
      </x:c>
      <x:c r="B354" s="26" t="n">
        <x:v>6</x:v>
      </x:c>
      <x:c r="C354" s="26" t="n">
        <x:v>4</x:v>
      </x:c>
      <x:c r="D354" s="24" t="n">
        <x:v>74.06</x:v>
      </x:c>
      <x:c r="E354" s="24" t="n">
        <x:v>73.29</x:v>
      </x:c>
      <x:c r="F354" s="24" t="n">
        <x:v>61.68</x:v>
      </x:c>
      <x:c r="G354" s="24" t="n">
        <x:v>7.38</x:v>
      </x:c>
      <x:c r="H354" s="24" t="n">
        <x:v>82.3</x:v>
      </x:c>
      <x:c r="I354" s="24" t="n">
        <x:v>77.75</x:v>
      </x:c>
      <x:c r="J354" s="24" t="n">
        <x:v>0</x:v>
      </x:c>
      <x:c r="K354" s="24" t="n">
        <x:v>3.82</x:v>
      </x:c>
      <x:c r="L354" s="24" t="n">
        <x:v>-2.76</x:v>
      </x:c>
      <x:c r="M354" s="24" t="n">
        <x:f>0.35*(100-D354)+0.10*(100-E354)+0.20*(100-I354)+0.15*J354+0.10*G354+0.10*K354+L354</x:f>
        <x:v>14.56</x:v>
      </x:c>
      <x:c r="N354" t="str">
        <x:f>IF(M354&lt;27,"Low",IF(M354&lt;50,"Medium","High"))</x:f>
        <x:v>Low</x:v>
      </x:c>
    </x:row>
    <x:row r="355">
      <x:c r="A355" t="str">
        <x:v>ML352</x:v>
      </x:c>
      <x:c r="B355" s="26" t="n">
        <x:v>9</x:v>
      </x:c>
      <x:c r="C355" s="26" t="n">
        <x:v>8</x:v>
      </x:c>
      <x:c r="D355" s="24" t="n">
        <x:v>69.26</x:v>
      </x:c>
      <x:c r="E355" s="24" t="n">
        <x:v>68.34</x:v>
      </x:c>
      <x:c r="F355" s="24" t="n">
        <x:v>50.72</x:v>
      </x:c>
      <x:c r="G355" s="24" t="n">
        <x:v>9.46</x:v>
      </x:c>
      <x:c r="H355" s="24" t="n">
        <x:v>72.58</x:v>
      </x:c>
      <x:c r="I355" s="24" t="n">
        <x:v>57.26</x:v>
      </x:c>
      <x:c r="J355" s="24" t="n">
        <x:v>0</x:v>
      </x:c>
      <x:c r="K355" s="24" t="n">
        <x:v>9.82</x:v>
      </x:c>
      <x:c r="L355" s="24" t="n">
        <x:v>6.44</x:v>
      </x:c>
      <x:c r="M355" s="24" t="n">
        <x:f>0.35*(100-D355)+0.10*(100-E355)+0.20*(100-I355)+0.15*J355+0.10*G355+0.10*K355+L355</x:f>
        <x:v>30.841</x:v>
      </x:c>
      <x:c r="N355" t="str">
        <x:f>IF(M355&lt;27,"Low",IF(M355&lt;50,"Medium","High"))</x:f>
        <x:v>Medium</x:v>
      </x:c>
    </x:row>
    <x:row r="356">
      <x:c r="A356" t="str">
        <x:v>ML353</x:v>
      </x:c>
      <x:c r="B356" s="26" t="n">
        <x:v>4</x:v>
      </x:c>
      <x:c r="C356" s="26" t="n">
        <x:v>10</x:v>
      </x:c>
      <x:c r="D356" s="24" t="n">
        <x:v>58.7</x:v>
      </x:c>
      <x:c r="E356" s="24" t="n">
        <x:v>60.91</x:v>
      </x:c>
      <x:c r="F356" s="24" t="n">
        <x:v>50.08</x:v>
      </x:c>
      <x:c r="G356" s="24" t="n">
        <x:v>8.74</x:v>
      </x:c>
      <x:c r="H356" s="24" t="n">
        <x:v>54.76</x:v>
      </x:c>
      <x:c r="I356" s="24" t="n">
        <x:v>45.35</x:v>
      </x:c>
      <x:c r="J356" s="24" t="n">
        <x:v>10</x:v>
      </x:c>
      <x:c r="K356" s="24" t="n">
        <x:v>4.42</x:v>
      </x:c>
      <x:c r="L356" s="24" t="n">
        <x:v>-2.84</x:v>
      </x:c>
      <x:c r="M356" s="24" t="n">
        <x:f>0.35*(100-D356)+0.10*(100-E356)+0.20*(100-I356)+0.15*J356+0.10*G356+0.10*K356+L356</x:f>
        <x:v>29.269999999999992</x:v>
      </x:c>
      <x:c r="N356" t="str">
        <x:f>IF(M356&lt;27,"Low",IF(M356&lt;50,"Medium","High"))</x:f>
        <x:v>Medium</x:v>
      </x:c>
    </x:row>
    <x:row r="357">
      <x:c r="A357" t="str">
        <x:v>ML354</x:v>
      </x:c>
      <x:c r="B357" s="26" t="n">
        <x:v>9</x:v>
      </x:c>
      <x:c r="C357" s="26" t="n">
        <x:v>5</x:v>
      </x:c>
      <x:c r="D357" s="24" t="n">
        <x:v>50.11</x:v>
      </x:c>
      <x:c r="E357" s="24" t="n">
        <x:v>52.7</x:v>
      </x:c>
      <x:c r="F357" s="24" t="n">
        <x:v>34.68</x:v>
      </x:c>
      <x:c r="G357" s="24" t="n">
        <x:v>11.26</x:v>
      </x:c>
      <x:c r="H357" s="24" t="n">
        <x:v>48.23</x:v>
      </x:c>
      <x:c r="I357" s="24" t="n">
        <x:v>38.82</x:v>
      </x:c>
      <x:c r="J357" s="24" t="n">
        <x:v>40</x:v>
      </x:c>
      <x:c r="K357" s="24" t="n">
        <x:v>7.42</x:v>
      </x:c>
      <x:c r="L357" s="24" t="n">
        <x:v>5.81</x:v>
      </x:c>
      <x:c r="M357" s="24" t="n">
        <x:f>0.35*(100-D357)+0.10*(100-E357)+0.20*(100-I357)+0.15*J357+0.10*G357+0.10*K357+L357</x:f>
        <x:v>48.10549999999999</x:v>
      </x:c>
      <x:c r="N357" t="str">
        <x:f>IF(M357&lt;27,"Low",IF(M357&lt;50,"Medium","High"))</x:f>
        <x:v>Medium</x:v>
      </x:c>
    </x:row>
    <x:row r="358">
      <x:c r="A358" t="str">
        <x:v>ML355</x:v>
      </x:c>
      <x:c r="B358" s="26" t="n">
        <x:v>8</x:v>
      </x:c>
      <x:c r="C358" s="26" t="n">
        <x:v>8</x:v>
      </x:c>
      <x:c r="D358" s="24" t="n">
        <x:v>56.93</x:v>
      </x:c>
      <x:c r="E358" s="24" t="n">
        <x:v>55.4</x:v>
      </x:c>
      <x:c r="F358" s="24" t="n">
        <x:v>44.67</x:v>
      </x:c>
      <x:c r="G358" s="24" t="n">
        <x:v>5.86</x:v>
      </x:c>
      <x:c r="H358" s="24" t="n">
        <x:v>58.59</x:v>
      </x:c>
      <x:c r="I358" s="24" t="n">
        <x:v>51.1</x:v>
      </x:c>
      <x:c r="J358" s="24" t="n">
        <x:v>0</x:v>
      </x:c>
      <x:c r="K358" s="24" t="n">
        <x:v>5.15</x:v>
      </x:c>
      <x:c r="L358" s="24" t="n">
        <x:v>-8.88</x:v>
      </x:c>
      <x:c r="M358" s="24" t="n">
        <x:f>0.35*(100-D358)+0.10*(100-E358)+0.20*(100-I358)+0.15*J358+0.10*G358+0.10*K358+L358</x:f>
        <x:v>21.5355</x:v>
      </x:c>
      <x:c r="N358" t="str">
        <x:f>IF(M358&lt;27,"Low",IF(M358&lt;50,"Medium","High"))</x:f>
        <x:v>Low</x:v>
      </x:c>
    </x:row>
    <x:row r="359">
      <x:c r="A359" t="str">
        <x:v>ML356</x:v>
      </x:c>
      <x:c r="B359" s="26" t="n">
        <x:v>4</x:v>
      </x:c>
      <x:c r="C359" s="26" t="n">
        <x:v>5</x:v>
      </x:c>
      <x:c r="D359" s="24" t="n">
        <x:v>58.29</x:v>
      </x:c>
      <x:c r="E359" s="24" t="n">
        <x:v>57.18</x:v>
      </x:c>
      <x:c r="F359" s="24" t="n">
        <x:v>43.47</x:v>
      </x:c>
      <x:c r="G359" s="24" t="n">
        <x:v>8.76</x:v>
      </x:c>
      <x:c r="H359" s="24" t="n">
        <x:v>47.33</x:v>
      </x:c>
      <x:c r="I359" s="24" t="n">
        <x:v>31.47</x:v>
      </x:c>
      <x:c r="J359" s="24" t="n">
        <x:v>40</x:v>
      </x:c>
      <x:c r="K359" s="24" t="n">
        <x:v>8.23</x:v>
      </x:c>
      <x:c r="L359" s="24" t="n">
        <x:v>-1.26</x:v>
      </x:c>
      <x:c r="M359" s="24" t="n">
        <x:f>0.35*(100-D359)+0.10*(100-E359)+0.20*(100-I359)+0.15*J359+0.10*G359+0.10*K359+L359</x:f>
        <x:v>39.0255</x:v>
      </x:c>
      <x:c r="N359" t="str">
        <x:f>IF(M359&lt;27,"Low",IF(M359&lt;50,"Medium","High"))</x:f>
        <x:v>Medium</x:v>
      </x:c>
    </x:row>
    <x:row r="360">
      <x:c r="A360" t="str">
        <x:v>ML357</x:v>
      </x:c>
      <x:c r="B360" s="26" t="n">
        <x:v>5</x:v>
      </x:c>
      <x:c r="C360" s="26" t="n">
        <x:v>4</x:v>
      </x:c>
      <x:c r="D360" s="24" t="n">
        <x:v>68.61</x:v>
      </x:c>
      <x:c r="E360" s="24" t="n">
        <x:v>65.97</x:v>
      </x:c>
      <x:c r="F360" s="24" t="n">
        <x:v>50.93</x:v>
      </x:c>
      <x:c r="G360" s="24" t="n">
        <x:v>13.12</x:v>
      </x:c>
      <x:c r="H360" s="24" t="n">
        <x:v>43.31</x:v>
      </x:c>
      <x:c r="I360" s="24" t="n">
        <x:v>27.83</x:v>
      </x:c>
      <x:c r="J360" s="24" t="n">
        <x:v>75</x:v>
      </x:c>
      <x:c r="K360" s="24" t="n">
        <x:v>9.84</x:v>
      </x:c>
      <x:c r="L360" s="24" t="n">
        <x:v>-2.06</x:v>
      </x:c>
      <x:c r="M360" s="24" t="n">
        <x:f>0.35*(100-D360)+0.10*(100-E360)+0.20*(100-I360)+0.15*J360+0.10*G360+0.10*K360+L360</x:f>
        <x:v>40.3095</x:v>
      </x:c>
      <x:c r="N360" t="str">
        <x:f>IF(M360&lt;27,"Low",IF(M360&lt;50,"Medium","High"))</x:f>
        <x:v>Medium</x:v>
      </x:c>
    </x:row>
    <x:row r="361">
      <x:c r="A361" t="str">
        <x:v>ML358</x:v>
      </x:c>
      <x:c r="B361" s="26" t="n">
        <x:v>7</x:v>
      </x:c>
      <x:c r="C361" s="26" t="n">
        <x:v>8</x:v>
      </x:c>
      <x:c r="D361" s="24" t="n">
        <x:v>58.04</x:v>
      </x:c>
      <x:c r="E361" s="24" t="n">
        <x:v>56.08</x:v>
      </x:c>
      <x:c r="F361" s="24" t="n">
        <x:v>34.14</x:v>
      </x:c>
      <x:c r="G361" s="24" t="n">
        <x:v>10.79</x:v>
      </x:c>
      <x:c r="H361" s="24" t="n">
        <x:v>54.88</x:v>
      </x:c>
      <x:c r="I361" s="24" t="n">
        <x:v>45.48</x:v>
      </x:c>
      <x:c r="J361" s="24" t="n">
        <x:v>25</x:v>
      </x:c>
      <x:c r="K361" s="24" t="n">
        <x:v>7.07</x:v>
      </x:c>
      <x:c r="L361" s="24" t="n">
        <x:v>-3.99</x:v>
      </x:c>
      <x:c r="M361" s="24" t="n">
        <x:f>0.35*(100-D361)+0.10*(100-E361)+0.20*(100-I361)+0.15*J361+0.10*G361+0.10*K361+L361</x:f>
        <x:v>31.528</x:v>
      </x:c>
      <x:c r="N361" t="str">
        <x:f>IF(M361&lt;27,"Low",IF(M361&lt;50,"Medium","High"))</x:f>
        <x:v>Medium</x:v>
      </x:c>
    </x:row>
    <x:row r="362">
      <x:c r="A362" t="str">
        <x:v>ML359</x:v>
      </x:c>
      <x:c r="B362" s="26" t="n">
        <x:v>4</x:v>
      </x:c>
      <x:c r="C362" s="26" t="n">
        <x:v>7</x:v>
      </x:c>
      <x:c r="D362" s="24" t="n">
        <x:v>64.39</x:v>
      </x:c>
      <x:c r="E362" s="24" t="n">
        <x:v>66.72</x:v>
      </x:c>
      <x:c r="F362" s="24" t="n">
        <x:v>53.13</x:v>
      </x:c>
      <x:c r="G362" s="24" t="n">
        <x:v>10.37</x:v>
      </x:c>
      <x:c r="H362" s="24" t="n">
        <x:v>47.92</x:v>
      </x:c>
      <x:c r="I362" s="24" t="n">
        <x:v>29.06</x:v>
      </x:c>
      <x:c r="J362" s="24" t="n">
        <x:v>57.14</x:v>
      </x:c>
      <x:c r="K362" s="24" t="n">
        <x:v>11.13</x:v>
      </x:c>
      <x:c r="L362" s="24" t="n">
        <x:v>-1.65</x:v>
      </x:c>
      <x:c r="M362" s="24" t="n">
        <x:f>0.35*(100-D362)+0.10*(100-E362)+0.20*(100-I362)+0.15*J362+0.10*G362+0.10*K362+L362</x:f>
        <x:v>39.0505</x:v>
      </x:c>
      <x:c r="N362" t="str">
        <x:f>IF(M362&lt;27,"Low",IF(M362&lt;50,"Medium","High"))</x:f>
        <x:v>Medium</x:v>
      </x:c>
    </x:row>
    <x:row r="363">
      <x:c r="A363" t="str">
        <x:v>ML360</x:v>
      </x:c>
      <x:c r="B363" s="26" t="n">
        <x:v>8</x:v>
      </x:c>
      <x:c r="C363" s="26" t="n">
        <x:v>6</x:v>
      </x:c>
      <x:c r="D363" s="24" t="n">
        <x:v>76.78</x:v>
      </x:c>
      <x:c r="E363" s="24" t="n">
        <x:v>76.91</x:v>
      </x:c>
      <x:c r="F363" s="24" t="n">
        <x:v>66.88</x:v>
      </x:c>
      <x:c r="G363" s="24" t="n">
        <x:v>6.33</x:v>
      </x:c>
      <x:c r="H363" s="24" t="n">
        <x:v>79.05</x:v>
      </x:c>
      <x:c r="I363" s="24" t="n">
        <x:v>65.67</x:v>
      </x:c>
      <x:c r="J363" s="24" t="n">
        <x:v>0</x:v>
      </x:c>
      <x:c r="K363" s="24" t="n">
        <x:v>9.53</x:v>
      </x:c>
      <x:c r="L363" s="24" t="n">
        <x:v>1.3</x:v>
      </x:c>
      <x:c r="M363" s="24" t="n">
        <x:f>0.35*(100-D363)+0.10*(100-E363)+0.20*(100-I363)+0.15*J363+0.10*G363+0.10*K363+L363</x:f>
        <x:v>20.188</x:v>
      </x:c>
      <x:c r="N363" t="str">
        <x:f>IF(M363&lt;27,"Low",IF(M363&lt;50,"Medium","High"))</x:f>
        <x:v>Low</x:v>
      </x:c>
    </x:row>
    <x:row r="364">
      <x:c r="A364" t="str">
        <x:v>ML361</x:v>
      </x:c>
      <x:c r="B364" s="26" t="n">
        <x:v>5</x:v>
      </x:c>
      <x:c r="C364" s="26" t="n">
        <x:v>6</x:v>
      </x:c>
      <x:c r="D364" s="24" t="n">
        <x:v>44.07</x:v>
      </x:c>
      <x:c r="E364" s="24" t="n">
        <x:v>43.62</x:v>
      </x:c>
      <x:c r="F364" s="24" t="n">
        <x:v>30.26</x:v>
      </x:c>
      <x:c r="G364" s="24" t="n">
        <x:v>10.85</x:v>
      </x:c>
      <x:c r="H364" s="24" t="n">
        <x:v>47.27</x:v>
      </x:c>
      <x:c r="I364" s="24" t="n">
        <x:v>33.8</x:v>
      </x:c>
      <x:c r="J364" s="24" t="n">
        <x:v>66.67</x:v>
      </x:c>
      <x:c r="K364" s="24" t="n">
        <x:v>9.01</x:v>
      </x:c>
      <x:c r="L364" s="24" t="n">
        <x:v>-5.13</x:v>
      </x:c>
      <x:c r="M364" s="24" t="n">
        <x:f>0.35*(100-D364)+0.10*(100-E364)+0.20*(100-I364)+0.15*J364+0.10*G364+0.10*K364+L364</x:f>
        <x:v>45.31000000000001</x:v>
      </x:c>
      <x:c r="N364" t="str">
        <x:f>IF(M364&lt;27,"Low",IF(M364&lt;50,"Medium","High"))</x:f>
        <x:v>Medium</x:v>
      </x:c>
    </x:row>
    <x:row r="365">
      <x:c r="A365" t="str">
        <x:v>ML362</x:v>
      </x:c>
      <x:c r="B365" s="26" t="n">
        <x:v>8</x:v>
      </x:c>
      <x:c r="C365" s="26" t="n">
        <x:v>6</x:v>
      </x:c>
      <x:c r="D365" s="24" t="n">
        <x:v>91.09</x:v>
      </x:c>
      <x:c r="E365" s="24" t="n">
        <x:v>92.9</x:v>
      </x:c>
      <x:c r="F365" s="24" t="n">
        <x:v>75.24</x:v>
      </x:c>
      <x:c r="G365" s="24" t="n">
        <x:v>7.8</x:v>
      </x:c>
      <x:c r="H365" s="24" t="n">
        <x:v>82.41</x:v>
      </x:c>
      <x:c r="I365" s="24" t="n">
        <x:v>66.3</x:v>
      </x:c>
      <x:c r="J365" s="24" t="n">
        <x:v>0</x:v>
      </x:c>
      <x:c r="K365" s="24" t="n">
        <x:v>9.8</x:v>
      </x:c>
      <x:c r="L365" s="24" t="n">
        <x:v>5.69</x:v>
      </x:c>
      <x:c r="M365" s="24" t="n">
        <x:f>0.35*(100-D365)+0.10*(100-E365)+0.20*(100-I365)+0.15*J365+0.10*G365+0.10*K365+L365</x:f>
        <x:v>18.0185</x:v>
      </x:c>
      <x:c r="N365" t="str">
        <x:f>IF(M365&lt;27,"Low",IF(M365&lt;50,"Medium","High"))</x:f>
        <x:v>Low</x:v>
      </x:c>
    </x:row>
    <x:row r="366">
      <x:c r="A366" t="str">
        <x:v>ML363</x:v>
      </x:c>
      <x:c r="B366" s="26" t="n">
        <x:v>4</x:v>
      </x:c>
      <x:c r="C366" s="26" t="n">
        <x:v>4</x:v>
      </x:c>
      <x:c r="D366" s="24" t="n">
        <x:v>79.16</x:v>
      </x:c>
      <x:c r="E366" s="24" t="n">
        <x:v>79.33</x:v>
      </x:c>
      <x:c r="F366" s="24" t="n">
        <x:v>71.7</x:v>
      </x:c>
      <x:c r="G366" s="24" t="n">
        <x:v>8.6</x:v>
      </x:c>
      <x:c r="H366" s="24" t="n">
        <x:v>88.47</x:v>
      </x:c>
      <x:c r="I366" s="24" t="n">
        <x:v>73.91</x:v>
      </x:c>
      <x:c r="J366" s="24" t="n">
        <x:v>0</x:v>
      </x:c>
      <x:c r="K366" s="24" t="n">
        <x:v>8.91</x:v>
      </x:c>
      <x:c r="L366" s="24" t="n">
        <x:v>-3.37</x:v>
      </x:c>
      <x:c r="M366" s="24" t="n">
        <x:f>0.35*(100-D366)+0.10*(100-E366)+0.20*(100-I366)+0.15*J366+0.10*G366+0.10*K366+L366</x:f>
        <x:v>12.959999999999997</x:v>
      </x:c>
      <x:c r="N366" t="str">
        <x:f>IF(M366&lt;27,"Low",IF(M366&lt;50,"Medium","High"))</x:f>
        <x:v>Low</x:v>
      </x:c>
    </x:row>
    <x:row r="367">
      <x:c r="A367" t="str">
        <x:v>ML364</x:v>
      </x:c>
      <x:c r="B367" s="26" t="n">
        <x:v>8</x:v>
      </x:c>
      <x:c r="C367" s="26" t="n">
        <x:v>5</x:v>
      </x:c>
      <x:c r="D367" s="24" t="n">
        <x:v>83.76</x:v>
      </x:c>
      <x:c r="E367" s="24" t="n">
        <x:v>83.38</x:v>
      </x:c>
      <x:c r="F367" s="24" t="n">
        <x:v>69.7</x:v>
      </x:c>
      <x:c r="G367" s="24" t="n">
        <x:v>8.23</x:v>
      </x:c>
      <x:c r="H367" s="24" t="n">
        <x:v>87.71</x:v>
      </x:c>
      <x:c r="I367" s="24" t="n">
        <x:v>78.71</x:v>
      </x:c>
      <x:c r="J367" s="24" t="n">
        <x:v>0</x:v>
      </x:c>
      <x:c r="K367" s="24" t="n">
        <x:v>7.33</x:v>
      </x:c>
      <x:c r="L367" s="24" t="n">
        <x:v>3.43</x:v>
      </x:c>
      <x:c r="M367" s="24" t="n">
        <x:f>0.35*(100-D367)+0.10*(100-E367)+0.20*(100-I367)+0.15*J367+0.10*G367+0.10*K367+L367</x:f>
        <x:v>16.59</x:v>
      </x:c>
      <x:c r="N367" t="str">
        <x:f>IF(M367&lt;27,"Low",IF(M367&lt;50,"Medium","High"))</x:f>
        <x:v>Low</x:v>
      </x:c>
    </x:row>
    <x:row r="368">
      <x:c r="A368" t="str">
        <x:v>ML365</x:v>
      </x:c>
      <x:c r="B368" s="26" t="n">
        <x:v>6</x:v>
      </x:c>
      <x:c r="C368" s="26" t="n">
        <x:v>4</x:v>
      </x:c>
      <x:c r="D368" s="24" t="n">
        <x:v>75.16</x:v>
      </x:c>
      <x:c r="E368" s="24" t="n">
        <x:v>70.06</x:v>
      </x:c>
      <x:c r="F368" s="24" t="n">
        <x:v>65.17</x:v>
      </x:c>
      <x:c r="G368" s="24" t="n">
        <x:v>4.53</x:v>
      </x:c>
      <x:c r="H368" s="24" t="n">
        <x:v>71.26</x:v>
      </x:c>
      <x:c r="I368" s="24" t="n">
        <x:v>58.9</x:v>
      </x:c>
      <x:c r="J368" s="24" t="n">
        <x:v>0</x:v>
      </x:c>
      <x:c r="K368" s="24" t="n">
        <x:v>11.06</x:v>
      </x:c>
      <x:c r="L368" s="24" t="n">
        <x:v>-2.6</x:v>
      </x:c>
      <x:c r="M368" s="24" t="n">
        <x:f>0.35*(100-D368)+0.10*(100-E368)+0.20*(100-I368)+0.15*J368+0.10*G368+0.10*K368+L368</x:f>
        <x:v>18.867</x:v>
      </x:c>
      <x:c r="N368" t="str">
        <x:f>IF(M368&lt;27,"Low",IF(M368&lt;50,"Medium","High"))</x:f>
        <x:v>Low</x:v>
      </x:c>
    </x:row>
    <x:row r="369">
      <x:c r="A369" t="str">
        <x:v>ML366</x:v>
      </x:c>
      <x:c r="B369" s="26" t="n">
        <x:v>5</x:v>
      </x:c>
      <x:c r="C369" s="26" t="n">
        <x:v>10</x:v>
      </x:c>
      <x:c r="D369" s="24" t="n">
        <x:v>87.84</x:v>
      </x:c>
      <x:c r="E369" s="24" t="n">
        <x:v>86.87</x:v>
      </x:c>
      <x:c r="F369" s="24" t="n">
        <x:v>77.64</x:v>
      </x:c>
      <x:c r="G369" s="24" t="n">
        <x:v>6.92</x:v>
      </x:c>
      <x:c r="H369" s="24" t="n">
        <x:v>89.72</x:v>
      </x:c>
      <x:c r="I369" s="24" t="n">
        <x:v>66.61</x:v>
      </x:c>
      <x:c r="J369" s="24" t="n">
        <x:v>0</x:v>
      </x:c>
      <x:c r="K369" s="24" t="n">
        <x:v>10.18</x:v>
      </x:c>
      <x:c r="L369" s="24" t="n">
        <x:v>10.6</x:v>
      </x:c>
      <x:c r="M369" s="24" t="n">
        <x:f>0.35*(100-D369)+0.10*(100-E369)+0.20*(100-I369)+0.15*J369+0.10*G369+0.10*K369+L369</x:f>
        <x:v>24.557000000000002</x:v>
      </x:c>
      <x:c r="N369" t="str">
        <x:f>IF(M369&lt;27,"Low",IF(M369&lt;50,"Medium","High"))</x:f>
        <x:v>Low</x:v>
      </x:c>
    </x:row>
    <x:row r="370">
      <x:c r="A370" t="str">
        <x:v>ML367</x:v>
      </x:c>
      <x:c r="B370" s="26" t="n">
        <x:v>7</x:v>
      </x:c>
      <x:c r="C370" s="26" t="n">
        <x:v>5</x:v>
      </x:c>
      <x:c r="D370" s="24" t="n">
        <x:v>54.28</x:v>
      </x:c>
      <x:c r="E370" s="24" t="n">
        <x:v>53.87</x:v>
      </x:c>
      <x:c r="F370" s="24" t="n">
        <x:v>43.78</x:v>
      </x:c>
      <x:c r="G370" s="24" t="n">
        <x:v>7.8</x:v>
      </x:c>
      <x:c r="H370" s="24" t="n">
        <x:v>48.84</x:v>
      </x:c>
      <x:c r="I370" s="24" t="n">
        <x:v>25.04</x:v>
      </x:c>
      <x:c r="J370" s="24" t="n">
        <x:v>40</x:v>
      </x:c>
      <x:c r="K370" s="24" t="n">
        <x:v>13.49</x:v>
      </x:c>
      <x:c r="L370" s="24" t="n">
        <x:v>4.27</x:v>
      </x:c>
      <x:c r="M370" s="24" t="n">
        <x:f>0.35*(100-D370)+0.10*(100-E370)+0.20*(100-I370)+0.15*J370+0.10*G370+0.10*K370+L370</x:f>
        <x:v>48.006</x:v>
      </x:c>
      <x:c r="N370" t="str">
        <x:f>IF(M370&lt;27,"Low",IF(M370&lt;50,"Medium","High"))</x:f>
        <x:v>Medium</x:v>
      </x:c>
    </x:row>
    <x:row r="371">
      <x:c r="A371" t="str">
        <x:v>ML368</x:v>
      </x:c>
      <x:c r="B371" s="26" t="n">
        <x:v>4</x:v>
      </x:c>
      <x:c r="C371" s="26" t="n">
        <x:v>4</x:v>
      </x:c>
      <x:c r="D371" s="24" t="n">
        <x:v>51.42</x:v>
      </x:c>
      <x:c r="E371" s="24" t="n">
        <x:v>51.21</x:v>
      </x:c>
      <x:c r="F371" s="24" t="n">
        <x:v>43.24</x:v>
      </x:c>
      <x:c r="G371" s="24" t="n">
        <x:v>4.82</x:v>
      </x:c>
      <x:c r="H371" s="24" t="n">
        <x:v>72.33</x:v>
      </x:c>
      <x:c r="I371" s="24" t="n">
        <x:v>66.79</x:v>
      </x:c>
      <x:c r="J371" s="24" t="n">
        <x:v>0</x:v>
      </x:c>
      <x:c r="K371" s="24" t="n">
        <x:v>4.4</x:v>
      </x:c>
      <x:c r="L371" s="24" t="n">
        <x:v>-0.42</x:v>
      </x:c>
      <x:c r="M371" s="24" t="n">
        <x:f>0.35*(100-D371)+0.10*(100-E371)+0.20*(100-I371)+0.15*J371+0.10*G371+0.10*K371+L371</x:f>
        <x:v>29.025999999999996</x:v>
      </x:c>
      <x:c r="N371" t="str">
        <x:f>IF(M371&lt;27,"Low",IF(M371&lt;50,"Medium","High"))</x:f>
        <x:v>Medium</x:v>
      </x:c>
    </x:row>
    <x:row r="372">
      <x:c r="A372" t="str">
        <x:v>ML369</x:v>
      </x:c>
      <x:c r="B372" s="26" t="n">
        <x:v>7</x:v>
      </x:c>
      <x:c r="C372" s="26" t="n">
        <x:v>9</x:v>
      </x:c>
      <x:c r="D372" s="24" t="n">
        <x:v>90.7</x:v>
      </x:c>
      <x:c r="E372" s="24" t="n">
        <x:v>87</x:v>
      </x:c>
      <x:c r="F372" s="24" t="n">
        <x:v>81.73</x:v>
      </x:c>
      <x:c r="G372" s="24" t="n">
        <x:v>4.54</x:v>
      </x:c>
      <x:c r="H372" s="24" t="n">
        <x:v>77.2</x:v>
      </x:c>
      <x:c r="I372" s="24" t="n">
        <x:v>62.75</x:v>
      </x:c>
      <x:c r="J372" s="24" t="n">
        <x:v>0</x:v>
      </x:c>
      <x:c r="K372" s="24" t="n">
        <x:v>6.43</x:v>
      </x:c>
      <x:c r="L372" s="24" t="n">
        <x:v>1.43</x:v>
      </x:c>
      <x:c r="M372" s="24" t="n">
        <x:f>0.35*(100-D372)+0.10*(100-E372)+0.20*(100-I372)+0.15*J372+0.10*G372+0.10*K372+L372</x:f>
        <x:v>14.532</x:v>
      </x:c>
      <x:c r="N372" t="str">
        <x:f>IF(M372&lt;27,"Low",IF(M372&lt;50,"Medium","High"))</x:f>
        <x:v>Low</x:v>
      </x:c>
    </x:row>
    <x:row r="373">
      <x:c r="A373" t="str">
        <x:v>ML370</x:v>
      </x:c>
      <x:c r="B373" s="26" t="n">
        <x:v>6</x:v>
      </x:c>
      <x:c r="C373" s="26" t="n">
        <x:v>10</x:v>
      </x:c>
      <x:c r="D373" s="24" t="n">
        <x:v>37.82</x:v>
      </x:c>
      <x:c r="E373" s="24" t="n">
        <x:v>38.87</x:v>
      </x:c>
      <x:c r="F373" s="24" t="n">
        <x:v>29.74</x:v>
      </x:c>
      <x:c r="G373" s="24" t="n">
        <x:v>6.87</x:v>
      </x:c>
      <x:c r="H373" s="24" t="n">
        <x:v>33.24</x:v>
      </x:c>
      <x:c r="I373" s="24" t="n">
        <x:v>20.44</x:v>
      </x:c>
      <x:c r="J373" s="24" t="n">
        <x:v>90</x:v>
      </x:c>
      <x:c r="K373" s="24" t="n">
        <x:v>8.82</x:v>
      </x:c>
      <x:c r="L373" s="24" t="n">
        <x:v>0.2</x:v>
      </x:c>
      <x:c r="M373" s="24" t="n">
        <x:f>0.35*(100-D373)+0.10*(100-E373)+0.20*(100-I373)+0.15*J373+0.10*G373+0.10*K373+L373</x:f>
        <x:v>59.056999999999995</x:v>
      </x:c>
      <x:c r="N373" t="str">
        <x:f>IF(M373&lt;27,"Low",IF(M373&lt;50,"Medium","High"))</x:f>
        <x:v>High</x:v>
      </x:c>
    </x:row>
    <x:row r="374">
      <x:c r="A374" t="str">
        <x:v>ML371</x:v>
      </x:c>
      <x:c r="B374" s="26" t="n">
        <x:v>7</x:v>
      </x:c>
      <x:c r="C374" s="26" t="n">
        <x:v>5</x:v>
      </x:c>
      <x:c r="D374" s="24" t="n">
        <x:v>40.29</x:v>
      </x:c>
      <x:c r="E374" s="24" t="n">
        <x:v>36.68</x:v>
      </x:c>
      <x:c r="F374" s="24" t="n">
        <x:v>22.79</x:v>
      </x:c>
      <x:c r="G374" s="24" t="n">
        <x:v>7.93</x:v>
      </x:c>
      <x:c r="H374" s="24" t="n">
        <x:v>34.14</x:v>
      </x:c>
      <x:c r="I374" s="24" t="n">
        <x:v>18.85</x:v>
      </x:c>
      <x:c r="J374" s="24" t="n">
        <x:v>100</x:v>
      </x:c>
      <x:c r="K374" s="24" t="n">
        <x:v>8.32</x:v>
      </x:c>
      <x:c r="L374" s="24" t="n">
        <x:v>-1.54</x:v>
      </x:c>
      <x:c r="M374" s="24" t="n">
        <x:f>0.35*(100-D374)+0.10*(100-E374)+0.20*(100-I374)+0.15*J374+0.10*G374+0.10*K374+L374</x:f>
        <x:v>58.5455</x:v>
      </x:c>
      <x:c r="N374" t="str">
        <x:f>IF(M374&lt;27,"Low",IF(M374&lt;50,"Medium","High"))</x:f>
        <x:v>High</x:v>
      </x:c>
    </x:row>
    <x:row r="375">
      <x:c r="A375" t="str">
        <x:v>ML372</x:v>
      </x:c>
      <x:c r="B375" s="26" t="n">
        <x:v>4</x:v>
      </x:c>
      <x:c r="C375" s="26" t="n">
        <x:v>10</x:v>
      </x:c>
      <x:c r="D375" s="24" t="n">
        <x:v>83.4</x:v>
      </x:c>
      <x:c r="E375" s="24" t="n">
        <x:v>85.27</x:v>
      </x:c>
      <x:c r="F375" s="24" t="n">
        <x:v>83.68</x:v>
      </x:c>
      <x:c r="G375" s="24" t="n">
        <x:v>1.56</x:v>
      </x:c>
      <x:c r="H375" s="24" t="n">
        <x:v>86.7</x:v>
      </x:c>
      <x:c r="I375" s="24" t="n">
        <x:v>70.92</x:v>
      </x:c>
      <x:c r="J375" s="24" t="n">
        <x:v>0</x:v>
      </x:c>
      <x:c r="K375" s="24" t="n">
        <x:v>8.31</x:v>
      </x:c>
      <x:c r="L375" s="24" t="n">
        <x:v>-2.55</x:v>
      </x:c>
      <x:c r="M375" s="24" t="n">
        <x:f>0.35*(100-D375)+0.10*(100-E375)+0.20*(100-I375)+0.15*J375+0.10*G375+0.10*K375+L375</x:f>
        <x:v>11.535999999999998</x:v>
      </x:c>
      <x:c r="N375" t="str">
        <x:f>IF(M375&lt;27,"Low",IF(M375&lt;50,"Medium","High"))</x:f>
        <x:v>Low</x:v>
      </x:c>
    </x:row>
    <x:row r="376">
      <x:c r="A376" t="str">
        <x:v>ML373</x:v>
      </x:c>
      <x:c r="B376" s="26" t="n">
        <x:v>8</x:v>
      </x:c>
      <x:c r="C376" s="26" t="n">
        <x:v>7</x:v>
      </x:c>
      <x:c r="D376" s="24" t="n">
        <x:v>57.32</x:v>
      </x:c>
      <x:c r="E376" s="24" t="n">
        <x:v>60.97</x:v>
      </x:c>
      <x:c r="F376" s="24" t="n">
        <x:v>40.21</x:v>
      </x:c>
      <x:c r="G376" s="24" t="n">
        <x:v>14.82</x:v>
      </x:c>
      <x:c r="H376" s="24" t="n">
        <x:v>52.06</x:v>
      </x:c>
      <x:c r="I376" s="24" t="n">
        <x:v>42.64</x:v>
      </x:c>
      <x:c r="J376" s="24" t="n">
        <x:v>28.57</x:v>
      </x:c>
      <x:c r="K376" s="24" t="n">
        <x:v>5.26</x:v>
      </x:c>
      <x:c r="L376" s="24" t="n">
        <x:v>0.22</x:v>
      </x:c>
      <x:c r="M376" s="24" t="n">
        <x:f>0.35*(100-D376)+0.10*(100-E376)+0.20*(100-I376)+0.15*J376+0.10*G376+0.10*K376+L376</x:f>
        <x:v>36.8265</x:v>
      </x:c>
      <x:c r="N376" t="str">
        <x:f>IF(M376&lt;27,"Low",IF(M376&lt;50,"Medium","High"))</x:f>
        <x:v>Medium</x:v>
      </x:c>
    </x:row>
    <x:row r="377">
      <x:c r="A377" t="str">
        <x:v>ML374</x:v>
      </x:c>
      <x:c r="B377" s="26" t="n">
        <x:v>8</x:v>
      </x:c>
      <x:c r="C377" s="26" t="n">
        <x:v>6</x:v>
      </x:c>
      <x:c r="D377" s="24" t="n">
        <x:v>85.72</x:v>
      </x:c>
      <x:c r="E377" s="24" t="n">
        <x:v>84.04</x:v>
      </x:c>
      <x:c r="F377" s="24" t="n">
        <x:v>61</x:v>
      </x:c>
      <x:c r="G377" s="24" t="n">
        <x:v>10.57</x:v>
      </x:c>
      <x:c r="H377" s="24" t="n">
        <x:v>80.38</x:v>
      </x:c>
      <x:c r="I377" s="24" t="n">
        <x:v>59.71</x:v>
      </x:c>
      <x:c r="J377" s="24" t="n">
        <x:v>0</x:v>
      </x:c>
      <x:c r="K377" s="24" t="n">
        <x:v>11.47</x:v>
      </x:c>
      <x:c r="L377" s="24" t="n">
        <x:v>1.16</x:v>
      </x:c>
      <x:c r="M377" s="24" t="n">
        <x:f>0.35*(100-D377)+0.10*(100-E377)+0.20*(100-I377)+0.15*J377+0.10*G377+0.10*K377+L377</x:f>
        <x:v>18.016</x:v>
      </x:c>
      <x:c r="N377" t="str">
        <x:f>IF(M377&lt;27,"Low",IF(M377&lt;50,"Medium","High"))</x:f>
        <x:v>Low</x:v>
      </x:c>
    </x:row>
    <x:row r="378">
      <x:c r="A378" t="str">
        <x:v>ML375</x:v>
      </x:c>
      <x:c r="B378" s="26" t="n">
        <x:v>5</x:v>
      </x:c>
      <x:c r="C378" s="26" t="n">
        <x:v>8</x:v>
      </x:c>
      <x:c r="D378" s="24" t="n">
        <x:v>70.5</x:v>
      </x:c>
      <x:c r="E378" s="24" t="n">
        <x:v>75.84</x:v>
      </x:c>
      <x:c r="F378" s="24" t="n">
        <x:v>71.55</x:v>
      </x:c>
      <x:c r="G378" s="24" t="n">
        <x:v>3.15</x:v>
      </x:c>
      <x:c r="H378" s="24" t="n">
        <x:v>75.44</x:v>
      </x:c>
      <x:c r="I378" s="24" t="n">
        <x:v>54.95</x:v>
      </x:c>
      <x:c r="J378" s="24" t="n">
        <x:v>0</x:v>
      </x:c>
      <x:c r="K378" s="24" t="n">
        <x:v>13.29</x:v>
      </x:c>
      <x:c r="L378" s="24" t="n">
        <x:v>-4.36</x:v>
      </x:c>
      <x:c r="M378" s="24" t="n">
        <x:f>0.35*(100-D378)+0.10*(100-E378)+0.20*(100-I378)+0.15*J378+0.10*G378+0.10*K378+L378</x:f>
        <x:v>19.035</x:v>
      </x:c>
      <x:c r="N378" t="str">
        <x:f>IF(M378&lt;27,"Low",IF(M378&lt;50,"Medium","High"))</x:f>
        <x:v>Low</x:v>
      </x:c>
    </x:row>
    <x:row r="379">
      <x:c r="A379" t="str">
        <x:v>ML376</x:v>
      </x:c>
      <x:c r="B379" s="26" t="n">
        <x:v>5</x:v>
      </x:c>
      <x:c r="C379" s="26" t="n">
        <x:v>10</x:v>
      </x:c>
      <x:c r="D379" s="24" t="n">
        <x:v>83.91</x:v>
      </x:c>
      <x:c r="E379" s="24" t="n">
        <x:v>83.22</x:v>
      </x:c>
      <x:c r="F379" s="24" t="n">
        <x:v>70.74</x:v>
      </x:c>
      <x:c r="G379" s="24" t="n">
        <x:v>8.22</x:v>
      </x:c>
      <x:c r="H379" s="24" t="n">
        <x:v>72.87</x:v>
      </x:c>
      <x:c r="I379" s="24" t="n">
        <x:v>49.51</x:v>
      </x:c>
      <x:c r="J379" s="24" t="n">
        <x:v>10</x:v>
      </x:c>
      <x:c r="K379" s="24" t="n">
        <x:v>16.16</x:v>
      </x:c>
      <x:c r="L379" s="24" t="n">
        <x:v>-5.62</x:v>
      </x:c>
      <x:c r="M379" s="24" t="n">
        <x:f>0.35*(100-D379)+0.10*(100-E379)+0.20*(100-I379)+0.15*J379+0.10*G379+0.10*K379+L379</x:f>
        <x:v>15.7255</x:v>
      </x:c>
      <x:c r="N379" t="str">
        <x:f>IF(M379&lt;27,"Low",IF(M379&lt;50,"Medium","High"))</x:f>
        <x:v>Low</x:v>
      </x:c>
    </x:row>
    <x:row r="380">
      <x:c r="A380" t="str">
        <x:v>ML377</x:v>
      </x:c>
      <x:c r="B380" s="26" t="n">
        <x:v>4</x:v>
      </x:c>
      <x:c r="C380" s="26" t="n">
        <x:v>9</x:v>
      </x:c>
      <x:c r="D380" s="24" t="n">
        <x:v>46.88</x:v>
      </x:c>
      <x:c r="E380" s="24" t="n">
        <x:v>44.48</x:v>
      </x:c>
      <x:c r="F380" s="24" t="n">
        <x:v>36.13</x:v>
      </x:c>
      <x:c r="G380" s="24" t="n">
        <x:v>7.15</x:v>
      </x:c>
      <x:c r="H380" s="24" t="n">
        <x:v>40.37</x:v>
      </x:c>
      <x:c r="I380" s="24" t="n">
        <x:v>23.67</x:v>
      </x:c>
      <x:c r="J380" s="24" t="n">
        <x:v>100</x:v>
      </x:c>
      <x:c r="K380" s="24" t="n">
        <x:v>8.35</x:v>
      </x:c>
      <x:c r="L380" s="24" t="n">
        <x:v>-1.79</x:v>
      </x:c>
      <x:c r="M380" s="24" t="n">
        <x:f>0.35*(100-D380)+0.10*(100-E380)+0.20*(100-I380)+0.15*J380+0.10*G380+0.10*K380+L380</x:f>
        <x:v>54.17</x:v>
      </x:c>
      <x:c r="N380" t="str">
        <x:f>IF(M380&lt;27,"Low",IF(M380&lt;50,"Medium","High"))</x:f>
        <x:v>High</x:v>
      </x:c>
    </x:row>
    <x:row r="381">
      <x:c r="A381" t="str">
        <x:v>ML378</x:v>
      </x:c>
      <x:c r="B381" s="26" t="n">
        <x:v>5</x:v>
      </x:c>
      <x:c r="C381" s="26" t="n">
        <x:v>7</x:v>
      </x:c>
      <x:c r="D381" s="24" t="n">
        <x:v>39.5</x:v>
      </x:c>
      <x:c r="E381" s="24" t="n">
        <x:v>39.52</x:v>
      </x:c>
      <x:c r="F381" s="24" t="n">
        <x:v>28.04</x:v>
      </x:c>
      <x:c r="G381" s="24" t="n">
        <x:v>8.74</x:v>
      </x:c>
      <x:c r="H381" s="24" t="n">
        <x:v>34.77</x:v>
      </x:c>
      <x:c r="I381" s="24" t="n">
        <x:v>16.91</x:v>
      </x:c>
      <x:c r="J381" s="24" t="n">
        <x:v>85.71</x:v>
      </x:c>
      <x:c r="K381" s="24" t="n">
        <x:v>10.48</x:v>
      </x:c>
      <x:c r="L381" s="24" t="n">
        <x:v>3.63</x:v>
      </x:c>
      <x:c r="M381" s="24" t="n">
        <x:f>0.35*(100-D381)+0.10*(100-E381)+0.20*(100-I381)+0.15*J381+0.10*G381+0.10*K381+L381</x:f>
        <x:v>62.249500000000005</x:v>
      </x:c>
      <x:c r="N381" t="str">
        <x:f>IF(M381&lt;27,"Low",IF(M381&lt;50,"Medium","High"))</x:f>
        <x:v>High</x:v>
      </x:c>
    </x:row>
    <x:row r="382">
      <x:c r="A382" t="str">
        <x:v>ML379</x:v>
      </x:c>
      <x:c r="B382" s="26" t="n">
        <x:v>8</x:v>
      </x:c>
      <x:c r="C382" s="26" t="n">
        <x:v>7</x:v>
      </x:c>
      <x:c r="D382" s="24" t="n">
        <x:v>64.35</x:v>
      </x:c>
      <x:c r="E382" s="24" t="n">
        <x:v>66.79</x:v>
      </x:c>
      <x:c r="F382" s="24" t="n">
        <x:v>56</x:v>
      </x:c>
      <x:c r="G382" s="24" t="n">
        <x:v>8.06</x:v>
      </x:c>
      <x:c r="H382" s="24" t="n">
        <x:v>60.1</x:v>
      </x:c>
      <x:c r="I382" s="24" t="n">
        <x:v>44.13</x:v>
      </x:c>
      <x:c r="J382" s="24" t="n">
        <x:v>14.29</x:v>
      </x:c>
      <x:c r="K382" s="24" t="n">
        <x:v>8.81</x:v>
      </x:c>
      <x:c r="L382" s="24" t="n">
        <x:v>-3.06</x:v>
      </x:c>
      <x:c r="M382" s="24" t="n">
        <x:f>0.35*(100-D382)+0.10*(100-E382)+0.20*(100-I382)+0.15*J382+0.10*G382+0.10*K382+L382</x:f>
        <x:v>27.743000000000002</x:v>
      </x:c>
      <x:c r="N382" t="str">
        <x:f>IF(M382&lt;27,"Low",IF(M382&lt;50,"Medium","High"))</x:f>
        <x:v>Medium</x:v>
      </x:c>
    </x:row>
    <x:row r="383">
      <x:c r="A383" t="str">
        <x:v>ML380</x:v>
      </x:c>
      <x:c r="B383" s="26" t="n">
        <x:v>7</x:v>
      </x:c>
      <x:c r="C383" s="26" t="n">
        <x:v>10</x:v>
      </x:c>
      <x:c r="D383" s="24" t="n">
        <x:v>31.77</x:v>
      </x:c>
      <x:c r="E383" s="24" t="n">
        <x:v>33.39</x:v>
      </x:c>
      <x:c r="F383" s="24" t="n">
        <x:v>11.43</x:v>
      </x:c>
      <x:c r="G383" s="24" t="n">
        <x:v>13.51</x:v>
      </x:c>
      <x:c r="H383" s="24" t="n">
        <x:v>24.24</x:v>
      </x:c>
      <x:c r="I383" s="24" t="n">
        <x:v>0.79</x:v>
      </x:c>
      <x:c r="J383" s="24" t="n">
        <x:v>100</x:v>
      </x:c>
      <x:c r="K383" s="24" t="n">
        <x:v>10.69</x:v>
      </x:c>
      <x:c r="L383" s="24" t="n">
        <x:v>3.09</x:v>
      </x:c>
      <x:c r="M383" s="24" t="n">
        <x:f>0.35*(100-D383)+0.10*(100-E383)+0.20*(100-I383)+0.15*J383+0.10*G383+0.10*K383+L383</x:f>
        <x:v>70.8935</x:v>
      </x:c>
      <x:c r="N383" t="str">
        <x:f>IF(M383&lt;27,"Low",IF(M383&lt;50,"Medium","High"))</x:f>
        <x:v>High</x:v>
      </x:c>
    </x:row>
    <x:row r="384">
      <x:c r="A384" t="str">
        <x:v>ML381</x:v>
      </x:c>
      <x:c r="B384" s="26" t="n">
        <x:v>9</x:v>
      </x:c>
      <x:c r="C384" s="26" t="n">
        <x:v>10</x:v>
      </x:c>
      <x:c r="D384" s="24" t="n">
        <x:v>51.94</x:v>
      </x:c>
      <x:c r="E384" s="24" t="n">
        <x:v>47.58</x:v>
      </x:c>
      <x:c r="F384" s="24" t="n">
        <x:v>34.34</x:v>
      </x:c>
      <x:c r="G384" s="24" t="n">
        <x:v>9.09</x:v>
      </x:c>
      <x:c r="H384" s="24" t="n">
        <x:v>41.33</x:v>
      </x:c>
      <x:c r="I384" s="24" t="n">
        <x:v>29.44</x:v>
      </x:c>
      <x:c r="J384" s="24" t="n">
        <x:v>80</x:v>
      </x:c>
      <x:c r="K384" s="24" t="n">
        <x:v>9.87</x:v>
      </x:c>
      <x:c r="L384" s="24" t="n">
        <x:v>3.19</x:v>
      </x:c>
      <x:c r="M384" s="24" t="n">
        <x:f>0.35*(100-D384)+0.10*(100-E384)+0.20*(100-I384)+0.15*J384+0.10*G384+0.10*K384+L384</x:f>
        <x:v>53.260999999999996</x:v>
      </x:c>
      <x:c r="N384" t="str">
        <x:f>IF(M384&lt;27,"Low",IF(M384&lt;50,"Medium","High"))</x:f>
        <x:v>High</x:v>
      </x:c>
    </x:row>
    <x:row r="385">
      <x:c r="A385" t="str">
        <x:v>ML382</x:v>
      </x:c>
      <x:c r="B385" s="26" t="n">
        <x:v>8</x:v>
      </x:c>
      <x:c r="C385" s="26" t="n">
        <x:v>8</x:v>
      </x:c>
      <x:c r="D385" s="24" t="n">
        <x:v>41.7</x:v>
      </x:c>
      <x:c r="E385" s="24" t="n">
        <x:v>42.26</x:v>
      </x:c>
      <x:c r="F385" s="24" t="n">
        <x:v>29.48</x:v>
      </x:c>
      <x:c r="G385" s="24" t="n">
        <x:v>8.17</x:v>
      </x:c>
      <x:c r="H385" s="24" t="n">
        <x:v>42.74</x:v>
      </x:c>
      <x:c r="I385" s="24" t="n">
        <x:v>29.62</x:v>
      </x:c>
      <x:c r="J385" s="24" t="n">
        <x:v>87.5</x:v>
      </x:c>
      <x:c r="K385" s="24" t="n">
        <x:v>7.17</x:v>
      </x:c>
      <x:c r="L385" s="24" t="n">
        <x:v>0.66</x:v>
      </x:c>
      <x:c r="M385" s="24" t="n">
        <x:f>0.35*(100-D385)+0.10*(100-E385)+0.20*(100-I385)+0.15*J385+0.10*G385+0.10*K385+L385</x:f>
        <x:v>55.57399999999999</x:v>
      </x:c>
      <x:c r="N385" t="str">
        <x:f>IF(M385&lt;27,"Low",IF(M385&lt;50,"Medium","High"))</x:f>
        <x:v>High</x:v>
      </x:c>
    </x:row>
    <x:row r="386">
      <x:c r="A386" t="str">
        <x:v>ML383</x:v>
      </x:c>
      <x:c r="B386" s="26" t="n">
        <x:v>7</x:v>
      </x:c>
      <x:c r="C386" s="26" t="n">
        <x:v>6</x:v>
      </x:c>
      <x:c r="D386" s="24" t="n">
        <x:v>49.73</x:v>
      </x:c>
      <x:c r="E386" s="24" t="n">
        <x:v>46.3</x:v>
      </x:c>
      <x:c r="F386" s="24" t="n">
        <x:v>35.17</x:v>
      </x:c>
      <x:c r="G386" s="24" t="n">
        <x:v>6.71</x:v>
      </x:c>
      <x:c r="H386" s="24" t="n">
        <x:v>44.63</x:v>
      </x:c>
      <x:c r="I386" s="24" t="n">
        <x:v>33.9</x:v>
      </x:c>
      <x:c r="J386" s="24" t="n">
        <x:v>66.67</x:v>
      </x:c>
      <x:c r="K386" s="24" t="n">
        <x:v>6.69</x:v>
      </x:c>
      <x:c r="L386" s="24" t="n">
        <x:v>6.39</x:v>
      </x:c>
      <x:c r="M386" s="24" t="n">
        <x:f>0.35*(100-D386)+0.10*(100-E386)+0.20*(100-I386)+0.15*J386+0.10*G386+0.10*K386+L386</x:f>
        <x:v>53.915</x:v>
      </x:c>
      <x:c r="N386" t="str">
        <x:f>IF(M386&lt;27,"Low",IF(M386&lt;50,"Medium","High"))</x:f>
        <x:v>High</x:v>
      </x:c>
    </x:row>
    <x:row r="387">
      <x:c r="A387" t="str">
        <x:v>ML384</x:v>
      </x:c>
      <x:c r="B387" s="26" t="n">
        <x:v>4</x:v>
      </x:c>
      <x:c r="C387" s="26" t="n">
        <x:v>10</x:v>
      </x:c>
      <x:c r="D387" s="24" t="n">
        <x:v>65.36</x:v>
      </x:c>
      <x:c r="E387" s="24" t="n">
        <x:v>64.68</x:v>
      </x:c>
      <x:c r="F387" s="24" t="n">
        <x:v>60.7</x:v>
      </x:c>
      <x:c r="G387" s="24" t="n">
        <x:v>4</x:v>
      </x:c>
      <x:c r="H387" s="24" t="n">
        <x:v>55.29</x:v>
      </x:c>
      <x:c r="I387" s="24" t="n">
        <x:v>31.62</x:v>
      </x:c>
      <x:c r="J387" s="24" t="n">
        <x:v>20</x:v>
      </x:c>
      <x:c r="K387" s="24" t="n">
        <x:v>11.17</x:v>
      </x:c>
      <x:c r="L387" s="24" t="n">
        <x:v>0.66</x:v>
      </x:c>
      <x:c r="M387" s="24" t="n">
        <x:f>0.35*(100-D387)+0.10*(100-E387)+0.20*(100-I387)+0.15*J387+0.10*G387+0.10*K387+L387</x:f>
        <x:v>34.50899999999999</x:v>
      </x:c>
      <x:c r="N387" t="str">
        <x:f>IF(M387&lt;27,"Low",IF(M387&lt;50,"Medium","High"))</x:f>
        <x:v>Medium</x:v>
      </x:c>
    </x:row>
    <x:row r="388">
      <x:c r="A388" t="str">
        <x:v>ML385</x:v>
      </x:c>
      <x:c r="B388" s="26" t="n">
        <x:v>8</x:v>
      </x:c>
      <x:c r="C388" s="26" t="n">
        <x:v>4</x:v>
      </x:c>
      <x:c r="D388" s="24" t="n">
        <x:v>76.04</x:v>
      </x:c>
      <x:c r="E388" s="24" t="n">
        <x:v>75.1</x:v>
      </x:c>
      <x:c r="F388" s="24" t="n">
        <x:v>59.15</x:v>
      </x:c>
      <x:c r="G388" s="24" t="n">
        <x:v>11.06</x:v>
      </x:c>
      <x:c r="H388" s="24" t="n">
        <x:v>60.09</x:v>
      </x:c>
      <x:c r="I388" s="24" t="n">
        <x:v>42.36</x:v>
      </x:c>
      <x:c r="J388" s="24" t="n">
        <x:v>25</x:v>
      </x:c>
      <x:c r="K388" s="24" t="n">
        <x:v>10.92</x:v>
      </x:c>
      <x:c r="L388" s="24" t="n">
        <x:v>-2.97</x:v>
      </x:c>
      <x:c r="M388" s="24" t="n">
        <x:f>0.35*(100-D388)+0.10*(100-E388)+0.20*(100-I388)+0.15*J388+0.10*G388+0.10*K388+L388</x:f>
        <x:v>25.381999999999998</x:v>
      </x:c>
      <x:c r="N388" t="str">
        <x:f>IF(M388&lt;27,"Low",IF(M388&lt;50,"Medium","High"))</x:f>
        <x:v>Low</x:v>
      </x:c>
    </x:row>
    <x:row r="389">
      <x:c r="A389" t="str">
        <x:v>ML386</x:v>
      </x:c>
      <x:c r="B389" s="26" t="n">
        <x:v>5</x:v>
      </x:c>
      <x:c r="C389" s="26" t="n">
        <x:v>9</x:v>
      </x:c>
      <x:c r="D389" s="24" t="n">
        <x:v>25.01</x:v>
      </x:c>
      <x:c r="E389" s="24" t="n">
        <x:v>27.44</x:v>
      </x:c>
      <x:c r="F389" s="24" t="n">
        <x:v>20.28</x:v>
      </x:c>
      <x:c r="G389" s="24" t="n">
        <x:v>6.21</x:v>
      </x:c>
      <x:c r="H389" s="24" t="n">
        <x:v>21.48</x:v>
      </x:c>
      <x:c r="I389" s="24" t="n">
        <x:v>11.01</x:v>
      </x:c>
      <x:c r="J389" s="24" t="n">
        <x:v>100</x:v>
      </x:c>
      <x:c r="K389" s="24" t="n">
        <x:v>8.2</x:v>
      </x:c>
      <x:c r="L389" s="24" t="n">
        <x:v>0.23</x:v>
      </x:c>
      <x:c r="M389" s="24" t="n">
        <x:f>0.35*(100-D389)+0.10*(100-E389)+0.20*(100-I389)+0.15*J389+0.10*G389+0.10*K389+L389</x:f>
        <x:v>67.97149999999999</x:v>
      </x:c>
      <x:c r="N389" t="str">
        <x:f>IF(M389&lt;27,"Low",IF(M389&lt;50,"Medium","High"))</x:f>
        <x:v>High</x:v>
      </x:c>
    </x:row>
    <x:row r="390">
      <x:c r="A390" t="str">
        <x:v>ML387</x:v>
      </x:c>
      <x:c r="B390" s="26" t="n">
        <x:v>5</x:v>
      </x:c>
      <x:c r="C390" s="26" t="n">
        <x:v>8</x:v>
      </x:c>
      <x:c r="D390" s="24" t="n">
        <x:v>32.17</x:v>
      </x:c>
      <x:c r="E390" s="24" t="n">
        <x:v>38.34</x:v>
      </x:c>
      <x:c r="F390" s="24" t="n">
        <x:v>27.98</x:v>
      </x:c>
      <x:c r="G390" s="24" t="n">
        <x:v>8.77</x:v>
      </x:c>
      <x:c r="H390" s="24" t="n">
        <x:v>33.04</x:v>
      </x:c>
      <x:c r="I390" s="24" t="n">
        <x:v>15.18</x:v>
      </x:c>
      <x:c r="J390" s="24" t="n">
        <x:v>100</x:v>
      </x:c>
      <x:c r="K390" s="24" t="n">
        <x:v>11</x:v>
      </x:c>
      <x:c r="L390" s="24" t="n">
        <x:v>-3.69</x:v>
      </x:c>
      <x:c r="M390" s="24" t="n">
        <x:f>0.35*(100-D390)+0.10*(100-E390)+0.20*(100-I390)+0.15*J390+0.10*G390+0.10*K390+L390</x:f>
        <x:v>60.1575</x:v>
      </x:c>
      <x:c r="N390" t="str">
        <x:f>IF(M390&lt;27,"Low",IF(M390&lt;50,"Medium","High"))</x:f>
        <x:v>High</x:v>
      </x:c>
    </x:row>
    <x:row r="391">
      <x:c r="A391" t="str">
        <x:v>ML388</x:v>
      </x:c>
      <x:c r="B391" s="26" t="n">
        <x:v>5</x:v>
      </x:c>
      <x:c r="C391" s="26" t="n">
        <x:v>10</x:v>
      </x:c>
      <x:c r="D391" s="24" t="n">
        <x:v>31.15</x:v>
      </x:c>
      <x:c r="E391" s="24" t="n">
        <x:v>29.34</x:v>
      </x:c>
      <x:c r="F391" s="24" t="n">
        <x:v>22.23</x:v>
      </x:c>
      <x:c r="G391" s="24" t="n">
        <x:v>7.7</x:v>
      </x:c>
      <x:c r="H391" s="24" t="n">
        <x:v>32.54</x:v>
      </x:c>
      <x:c r="I391" s="24" t="n">
        <x:v>14.39</x:v>
      </x:c>
      <x:c r="J391" s="24" t="n">
        <x:v>90</x:v>
      </x:c>
      <x:c r="K391" s="24" t="n">
        <x:v>11.03</x:v>
      </x:c>
      <x:c r="L391" s="24" t="n">
        <x:v>6.34</x:v>
      </x:c>
      <x:c r="M391" s="24" t="n">
        <x:f>0.35*(100-D391)+0.10*(100-E391)+0.20*(100-I391)+0.15*J391+0.10*G391+0.10*K391+L391</x:f>
        <x:v>69.9985</x:v>
      </x:c>
      <x:c r="N391" t="str">
        <x:f>IF(M391&lt;27,"Low",IF(M391&lt;50,"Medium","High"))</x:f>
        <x:v>High</x:v>
      </x:c>
    </x:row>
    <x:row r="392">
      <x:c r="A392" t="str">
        <x:v>ML389</x:v>
      </x:c>
      <x:c r="B392" s="26" t="n">
        <x:v>6</x:v>
      </x:c>
      <x:c r="C392" s="26" t="n">
        <x:v>4</x:v>
      </x:c>
      <x:c r="D392" s="24" t="n">
        <x:v>78.93</x:v>
      </x:c>
      <x:c r="E392" s="24" t="n">
        <x:v>77.45</x:v>
      </x:c>
      <x:c r="F392" s="24" t="n">
        <x:v>69.5</x:v>
      </x:c>
      <x:c r="G392" s="24" t="n">
        <x:v>3.87</x:v>
      </x:c>
      <x:c r="H392" s="24" t="n">
        <x:v>74.09</x:v>
      </x:c>
      <x:c r="I392" s="24" t="n">
        <x:v>65.16</x:v>
      </x:c>
      <x:c r="J392" s="24" t="n">
        <x:v>0</x:v>
      </x:c>
      <x:c r="K392" s="24" t="n">
        <x:v>6.67</x:v>
      </x:c>
      <x:c r="L392" s="24" t="n">
        <x:v>6.5</x:v>
      </x:c>
      <x:c r="M392" s="24" t="n">
        <x:f>0.35*(100-D392)+0.10*(100-E392)+0.20*(100-I392)+0.15*J392+0.10*G392+0.10*K392+L392</x:f>
        <x:v>24.1515</x:v>
      </x:c>
      <x:c r="N392" t="str">
        <x:f>IF(M392&lt;27,"Low",IF(M392&lt;50,"Medium","High"))</x:f>
        <x:v>Low</x:v>
      </x:c>
    </x:row>
    <x:row r="393">
      <x:c r="A393" t="str">
        <x:v>ML390</x:v>
      </x:c>
      <x:c r="B393" s="26" t="n">
        <x:v>9</x:v>
      </x:c>
      <x:c r="C393" s="26" t="n">
        <x:v>5</x:v>
      </x:c>
      <x:c r="D393" s="24" t="n">
        <x:v>47.34</x:v>
      </x:c>
      <x:c r="E393" s="24" t="n">
        <x:v>47.06</x:v>
      </x:c>
      <x:c r="F393" s="24" t="n">
        <x:v>38.7</x:v>
      </x:c>
      <x:c r="G393" s="24" t="n">
        <x:v>4.87</x:v>
      </x:c>
      <x:c r="H393" s="24" t="n">
        <x:v>31.4</x:v>
      </x:c>
      <x:c r="I393" s="24" t="n">
        <x:v>11.74</x:v>
      </x:c>
      <x:c r="J393" s="24" t="n">
        <x:v>100</x:v>
      </x:c>
      <x:c r="K393" s="24" t="n">
        <x:v>11.17</x:v>
      </x:c>
      <x:c r="L393" s="24" t="n">
        <x:v>-8.99</x:v>
      </x:c>
      <x:c r="M393" s="24" t="n">
        <x:f>0.35*(100-D393)+0.10*(100-E393)+0.20*(100-I393)+0.15*J393+0.10*G393+0.10*K393+L393</x:f>
        <x:v>48.99099999999999</x:v>
      </x:c>
      <x:c r="N393" t="str">
        <x:f>IF(M393&lt;27,"Low",IF(M393&lt;50,"Medium","High"))</x:f>
        <x:v>Medium</x:v>
      </x:c>
    </x:row>
    <x:row r="394">
      <x:c r="A394" t="str">
        <x:v>ML391</x:v>
      </x:c>
      <x:c r="B394" s="26" t="n">
        <x:v>4</x:v>
      </x:c>
      <x:c r="C394" s="26" t="n">
        <x:v>6</x:v>
      </x:c>
      <x:c r="D394" s="24" t="n">
        <x:v>51.32</x:v>
      </x:c>
      <x:c r="E394" s="24" t="n">
        <x:v>52.14</x:v>
      </x:c>
      <x:c r="F394" s="24" t="n">
        <x:v>39.54</x:v>
      </x:c>
      <x:c r="G394" s="24" t="n">
        <x:v>11.14</x:v>
      </x:c>
      <x:c r="H394" s="24" t="n">
        <x:v>60.43</x:v>
      </x:c>
      <x:c r="I394" s="24" t="n">
        <x:v>43.28</x:v>
      </x:c>
      <x:c r="J394" s="24" t="n">
        <x:v>16.67</x:v>
      </x:c>
      <x:c r="K394" s="24" t="n">
        <x:v>9.19</x:v>
      </x:c>
      <x:c r="L394" s="24" t="n">
        <x:v>-5.69</x:v>
      </x:c>
      <x:c r="M394" s="24" t="n">
        <x:f>0.35*(100-D394)+0.10*(100-E394)+0.20*(100-I394)+0.15*J394+0.10*G394+0.10*K394+L394</x:f>
        <x:v>32.011500000000005</x:v>
      </x:c>
      <x:c r="N394" t="str">
        <x:f>IF(M394&lt;27,"Low",IF(M394&lt;50,"Medium","High"))</x:f>
        <x:v>Medium</x:v>
      </x:c>
    </x:row>
    <x:row r="395">
      <x:c r="A395" t="str">
        <x:v>ML392</x:v>
      </x:c>
      <x:c r="B395" s="26" t="n">
        <x:v>9</x:v>
      </x:c>
      <x:c r="C395" s="26" t="n">
        <x:v>7</x:v>
      </x:c>
      <x:c r="D395" s="24" t="n">
        <x:v>85.1</x:v>
      </x:c>
      <x:c r="E395" s="24" t="n">
        <x:v>85.23</x:v>
      </x:c>
      <x:c r="F395" s="24" t="n">
        <x:v>77.22</x:v>
      </x:c>
      <x:c r="G395" s="24" t="n">
        <x:v>4.33</x:v>
      </x:c>
      <x:c r="H395" s="24" t="n">
        <x:v>80.51</x:v>
      </x:c>
      <x:c r="I395" s="24" t="n">
        <x:v>70.54</x:v>
      </x:c>
      <x:c r="J395" s="24" t="n">
        <x:v>0</x:v>
      </x:c>
      <x:c r="K395" s="24" t="n">
        <x:v>7.14</x:v>
      </x:c>
      <x:c r="L395" s="24" t="n">
        <x:v>4.46</x:v>
      </x:c>
      <x:c r="M395" s="24" t="n">
        <x:f>0.35*(100-D395)+0.10*(100-E395)+0.20*(100-I395)+0.15*J395+0.10*G395+0.10*K395+L395</x:f>
        <x:v>18.191</x:v>
      </x:c>
      <x:c r="N395" t="str">
        <x:f>IF(M395&lt;27,"Low",IF(M395&lt;50,"Medium","High"))</x:f>
        <x:v>Low</x:v>
      </x:c>
    </x:row>
    <x:row r="396">
      <x:c r="A396" t="str">
        <x:v>ML393</x:v>
      </x:c>
      <x:c r="B396" s="26" t="n">
        <x:v>4</x:v>
      </x:c>
      <x:c r="C396" s="26" t="n">
        <x:v>9</x:v>
      </x:c>
      <x:c r="D396" s="24" t="n">
        <x:v>66.22</x:v>
      </x:c>
      <x:c r="E396" s="24" t="n">
        <x:v>65.45</x:v>
      </x:c>
      <x:c r="F396" s="24" t="n">
        <x:v>58.86</x:v>
      </x:c>
      <x:c r="G396" s="24" t="n">
        <x:v>4.13</x:v>
      </x:c>
      <x:c r="H396" s="24" t="n">
        <x:v>51.11</x:v>
      </x:c>
      <x:c r="I396" s="24" t="n">
        <x:v>26.86</x:v>
      </x:c>
      <x:c r="J396" s="24" t="n">
        <x:v>44.44</x:v>
      </x:c>
      <x:c r="K396" s="24" t="n">
        <x:v>11.06</x:v>
      </x:c>
      <x:c r="L396" s="24" t="n">
        <x:v>0.03</x:v>
      </x:c>
      <x:c r="M396" s="24" t="n">
        <x:f>0.35*(100-D396)+0.10*(100-E396)+0.20*(100-I396)+0.15*J396+0.10*G396+0.10*K396+L396</x:f>
        <x:v>38.120999999999995</x:v>
      </x:c>
      <x:c r="N396" t="str">
        <x:f>IF(M396&lt;27,"Low",IF(M396&lt;50,"Medium","High"))</x:f>
        <x:v>Medium</x:v>
      </x:c>
    </x:row>
    <x:row r="397">
      <x:c r="A397" t="str">
        <x:v>ML394</x:v>
      </x:c>
      <x:c r="B397" s="26" t="n">
        <x:v>6</x:v>
      </x:c>
      <x:c r="C397" s="26" t="n">
        <x:v>8</x:v>
      </x:c>
      <x:c r="D397" s="24" t="n">
        <x:v>48.96</x:v>
      </x:c>
      <x:c r="E397" s="24" t="n">
        <x:v>52.4</x:v>
      </x:c>
      <x:c r="F397" s="24" t="n">
        <x:v>43.48</x:v>
      </x:c>
      <x:c r="G397" s="24" t="n">
        <x:v>7.99</x:v>
      </x:c>
      <x:c r="H397" s="24" t="n">
        <x:v>43.47</x:v>
      </x:c>
      <x:c r="I397" s="24" t="n">
        <x:v>31.28</x:v>
      </x:c>
      <x:c r="J397" s="24" t="n">
        <x:v>75</x:v>
      </x:c>
      <x:c r="K397" s="24" t="n">
        <x:v>9.79</x:v>
      </x:c>
      <x:c r="L397" s="24" t="n">
        <x:v>2.43</x:v>
      </x:c>
      <x:c r="M397" s="24" t="n">
        <x:f>0.35*(100-D397)+0.10*(100-E397)+0.20*(100-I397)+0.15*J397+0.10*G397+0.10*K397+L397</x:f>
        <x:v>51.82599999999999</x:v>
      </x:c>
      <x:c r="N397" t="str">
        <x:f>IF(M397&lt;27,"Low",IF(M397&lt;50,"Medium","High"))</x:f>
        <x:v>High</x:v>
      </x:c>
    </x:row>
    <x:row r="398">
      <x:c r="A398" t="str">
        <x:v>ML395</x:v>
      </x:c>
      <x:c r="B398" s="26" t="n">
        <x:v>4</x:v>
      </x:c>
      <x:c r="C398" s="26" t="n">
        <x:v>10</x:v>
      </x:c>
      <x:c r="D398" s="24" t="n">
        <x:v>60.7</x:v>
      </x:c>
      <x:c r="E398" s="24" t="n">
        <x:v>58.66</x:v>
      </x:c>
      <x:c r="F398" s="24" t="n">
        <x:v>51.71</x:v>
      </x:c>
      <x:c r="G398" s="24" t="n">
        <x:v>6.09</x:v>
      </x:c>
      <x:c r="H398" s="24" t="n">
        <x:v>59.56</x:v>
      </x:c>
      <x:c r="I398" s="24" t="n">
        <x:v>29.76</x:v>
      </x:c>
      <x:c r="J398" s="24" t="n">
        <x:v>20</x:v>
      </x:c>
      <x:c r="K398" s="24" t="n">
        <x:v>14.26</x:v>
      </x:c>
      <x:c r="L398" s="24" t="n">
        <x:v>0.41</x:v>
      </x:c>
      <x:c r="M398" s="24" t="n">
        <x:f>0.35*(100-D398)+0.10*(100-E398)+0.20*(100-I398)+0.15*J398+0.10*G398+0.10*K398+L398</x:f>
        <x:v>37.382</x:v>
      </x:c>
      <x:c r="N398" t="str">
        <x:f>IF(M398&lt;27,"Low",IF(M398&lt;50,"Medium","High"))</x:f>
        <x:v>Medium</x:v>
      </x:c>
    </x:row>
    <x:row r="399">
      <x:c r="A399" t="str">
        <x:v>ML396</x:v>
      </x:c>
      <x:c r="B399" s="26" t="n">
        <x:v>6</x:v>
      </x:c>
      <x:c r="C399" s="26" t="n">
        <x:v>6</x:v>
      </x:c>
      <x:c r="D399" s="24" t="n">
        <x:v>58.35</x:v>
      </x:c>
      <x:c r="E399" s="24" t="n">
        <x:v>63.14</x:v>
      </x:c>
      <x:c r="F399" s="24" t="n">
        <x:v>46.21</x:v>
      </x:c>
      <x:c r="G399" s="24" t="n">
        <x:v>8.29</x:v>
      </x:c>
      <x:c r="H399" s="24" t="n">
        <x:v>70.28</x:v>
      </x:c>
      <x:c r="I399" s="24" t="n">
        <x:v>60.13</x:v>
      </x:c>
      <x:c r="J399" s="24" t="n">
        <x:v>0</x:v>
      </x:c>
      <x:c r="K399" s="24" t="n">
        <x:v>9.39</x:v>
      </x:c>
      <x:c r="L399" s="24" t="n">
        <x:v>4.03</x:v>
      </x:c>
      <x:c r="M399" s="24" t="n">
        <x:f>0.35*(100-D399)+0.10*(100-E399)+0.20*(100-I399)+0.15*J399+0.10*G399+0.10*K399+L399</x:f>
        <x:v>32.0355</x:v>
      </x:c>
      <x:c r="N399" t="str">
        <x:f>IF(M399&lt;27,"Low",IF(M399&lt;50,"Medium","High"))</x:f>
        <x:v>Medium</x:v>
      </x:c>
    </x:row>
    <x:row r="400">
      <x:c r="A400" t="str">
        <x:v>ML397</x:v>
      </x:c>
      <x:c r="B400" s="26" t="n">
        <x:v>6</x:v>
      </x:c>
      <x:c r="C400" s="26" t="n">
        <x:v>4</x:v>
      </x:c>
      <x:c r="D400" s="24" t="n">
        <x:v>42.68</x:v>
      </x:c>
      <x:c r="E400" s="24" t="n">
        <x:v>44.16</x:v>
      </x:c>
      <x:c r="F400" s="24" t="n">
        <x:v>33.37</x:v>
      </x:c>
      <x:c r="G400" s="24" t="n">
        <x:v>8.52</x:v>
      </x:c>
      <x:c r="H400" s="24" t="n">
        <x:v>25.73</x:v>
      </x:c>
      <x:c r="I400" s="24" t="n">
        <x:v>11.13</x:v>
      </x:c>
      <x:c r="J400" s="24" t="n">
        <x:v>100</x:v>
      </x:c>
      <x:c r="K400" s="24" t="n">
        <x:v>8.84</x:v>
      </x:c>
      <x:c r="L400" s="24" t="n">
        <x:v>-6.28</x:v>
      </x:c>
      <x:c r="M400" s="24" t="n">
        <x:f>0.35*(100-D400)+0.10*(100-E400)+0.20*(100-I400)+0.15*J400+0.10*G400+0.10*K400+L400</x:f>
        <x:v>53.876</x:v>
      </x:c>
      <x:c r="N400" t="str">
        <x:f>IF(M400&lt;27,"Low",IF(M400&lt;50,"Medium","High"))</x:f>
        <x:v>High</x:v>
      </x:c>
    </x:row>
    <x:row r="401">
      <x:c r="A401" t="str">
        <x:v>ML398</x:v>
      </x:c>
      <x:c r="B401" s="26" t="n">
        <x:v>5</x:v>
      </x:c>
      <x:c r="C401" s="26" t="n">
        <x:v>7</x:v>
      </x:c>
      <x:c r="D401" s="24" t="n">
        <x:v>74.38</x:v>
      </x:c>
      <x:c r="E401" s="24" t="n">
        <x:v>73.94</x:v>
      </x:c>
      <x:c r="F401" s="24" t="n">
        <x:v>65.08</x:v>
      </x:c>
      <x:c r="G401" s="24" t="n">
        <x:v>6.14</x:v>
      </x:c>
      <x:c r="H401" s="24" t="n">
        <x:v>74.43</x:v>
      </x:c>
      <x:c r="I401" s="24" t="n">
        <x:v>59.01</x:v>
      </x:c>
      <x:c r="J401" s="24" t="n">
        <x:v>0</x:v>
      </x:c>
      <x:c r="K401" s="24" t="n">
        <x:v>7.13</x:v>
      </x:c>
      <x:c r="L401" s="24" t="n">
        <x:v>-2.4</x:v>
      </x:c>
      <x:c r="M401" s="24" t="n">
        <x:f>0.35*(100-D401)+0.10*(100-E401)+0.20*(100-I401)+0.15*J401+0.10*G401+0.10*K401+L401</x:f>
        <x:v>18.698000000000004</x:v>
      </x:c>
      <x:c r="N401" t="str">
        <x:f>IF(M401&lt;27,"Low",IF(M401&lt;50,"Medium","High"))</x:f>
        <x:v>Low</x:v>
      </x:c>
    </x:row>
    <x:row r="402">
      <x:c r="A402" t="str">
        <x:v>ML399</x:v>
      </x:c>
      <x:c r="B402" s="26" t="n">
        <x:v>4</x:v>
      </x:c>
      <x:c r="C402" s="26" t="n">
        <x:v>4</x:v>
      </x:c>
      <x:c r="D402" s="24" t="n">
        <x:v>59.63</x:v>
      </x:c>
      <x:c r="E402" s="24" t="n">
        <x:v>57.77</x:v>
      </x:c>
      <x:c r="F402" s="24" t="n">
        <x:v>47.74</x:v>
      </x:c>
      <x:c r="G402" s="24" t="n">
        <x:v>8.2</x:v>
      </x:c>
      <x:c r="H402" s="24" t="n">
        <x:v>69.95</x:v>
      </x:c>
      <x:c r="I402" s="24" t="n">
        <x:v>60.25</x:v>
      </x:c>
      <x:c r="J402" s="24" t="n">
        <x:v>0</x:v>
      </x:c>
      <x:c r="K402" s="24" t="n">
        <x:v>8.06</x:v>
      </x:c>
      <x:c r="L402" s="24" t="n">
        <x:v>-2.86</x:v>
      </x:c>
      <x:c r="M402" s="24" t="n">
        <x:f>0.35*(100-D402)+0.10*(100-E402)+0.20*(100-I402)+0.15*J402+0.10*G402+0.10*K402+L402</x:f>
        <x:v>25.0685</x:v>
      </x:c>
      <x:c r="N402" t="str">
        <x:f>IF(M402&lt;27,"Low",IF(M402&lt;50,"Medium","High"))</x:f>
        <x:v>Low</x:v>
      </x:c>
    </x:row>
    <x:row r="403">
      <x:c r="A403" t="str">
        <x:v>ML400</x:v>
      </x:c>
      <x:c r="B403" s="26" t="n">
        <x:v>5</x:v>
      </x:c>
      <x:c r="C403" s="26" t="n">
        <x:v>10</x:v>
      </x:c>
      <x:c r="D403" s="24" t="n">
        <x:v>58.11</x:v>
      </x:c>
      <x:c r="E403" s="24" t="n">
        <x:v>61.81</x:v>
      </x:c>
      <x:c r="F403" s="24" t="n">
        <x:v>48.04</x:v>
      </x:c>
      <x:c r="G403" s="24" t="n">
        <x:v>7.93</x:v>
      </x:c>
      <x:c r="H403" s="24" t="n">
        <x:v>67.22</x:v>
      </x:c>
      <x:c r="I403" s="24" t="n">
        <x:v>40.97</x:v>
      </x:c>
      <x:c r="J403" s="24" t="n">
        <x:v>10</x:v>
      </x:c>
      <x:c r="K403" s="24" t="n">
        <x:v>10.72</x:v>
      </x:c>
      <x:c r="L403" s="24" t="n">
        <x:v>-6.23</x:v>
      </x:c>
      <x:c r="M403" s="24" t="n">
        <x:f>0.35*(100-D403)+0.10*(100-E403)+0.20*(100-I403)+0.15*J403+0.10*G403+0.10*K403+L403</x:f>
        <x:v>27.421500000000005</x:v>
      </x:c>
      <x:c r="N403" t="str">
        <x:f>IF(M403&lt;27,"Low",IF(M403&lt;50,"Medium","High"))</x:f>
        <x:v>Medium</x:v>
      </x:c>
    </x:row>
    <x:row r="404">
      <x:c r="A404" t="str">
        <x:v>ML401</x:v>
      </x:c>
      <x:c r="B404" s="26" t="n">
        <x:v>4</x:v>
      </x:c>
      <x:c r="C404" s="26" t="n">
        <x:v>6</x:v>
      </x:c>
      <x:c r="D404" s="24" t="n">
        <x:v>80.44</x:v>
      </x:c>
      <x:c r="E404" s="24" t="n">
        <x:v>82.87</x:v>
      </x:c>
      <x:c r="F404" s="24" t="n">
        <x:v>74.51</x:v>
      </x:c>
      <x:c r="G404" s="24" t="n">
        <x:v>5.18</x:v>
      </x:c>
      <x:c r="H404" s="24" t="n">
        <x:v>81.8</x:v>
      </x:c>
      <x:c r="I404" s="24" t="n">
        <x:v>72.74</x:v>
      </x:c>
      <x:c r="J404" s="24" t="n">
        <x:v>0</x:v>
      </x:c>
      <x:c r="K404" s="24" t="n">
        <x:v>7.91</x:v>
      </x:c>
      <x:c r="L404" s="24" t="n">
        <x:v>-1.08</x:v>
      </x:c>
      <x:c r="M404" s="24" t="n">
        <x:f>0.35*(100-D404)+0.10*(100-E404)+0.20*(100-I404)+0.15*J404+0.10*G404+0.10*K404+L404</x:f>
        <x:v>14.240000000000002</x:v>
      </x:c>
      <x:c r="N404" t="str">
        <x:f>IF(M404&lt;27,"Low",IF(M404&lt;50,"Medium","High"))</x:f>
        <x:v>Low</x:v>
      </x:c>
    </x:row>
    <x:row r="405">
      <x:c r="A405" t="str">
        <x:v>ML402</x:v>
      </x:c>
      <x:c r="B405" s="26" t="n">
        <x:v>5</x:v>
      </x:c>
      <x:c r="C405" s="26" t="n">
        <x:v>8</x:v>
      </x:c>
      <x:c r="D405" s="24" t="n">
        <x:v>30.7</x:v>
      </x:c>
      <x:c r="E405" s="24" t="n">
        <x:v>28.35</x:v>
      </x:c>
      <x:c r="F405" s="24" t="n">
        <x:v>21.41</x:v>
      </x:c>
      <x:c r="G405" s="24" t="n">
        <x:v>6.75</x:v>
      </x:c>
      <x:c r="H405" s="24" t="n">
        <x:v>22.55</x:v>
      </x:c>
      <x:c r="I405" s="24" t="n">
        <x:v>5.88</x:v>
      </x:c>
      <x:c r="J405" s="24" t="n">
        <x:v>100</x:v>
      </x:c>
      <x:c r="K405" s="24" t="n">
        <x:v>8.54</x:v>
      </x:c>
      <x:c r="L405" s="24" t="n">
        <x:v>3.01</x:v>
      </x:c>
      <x:c r="M405" s="24" t="n">
        <x:f>0.35*(100-D405)+0.10*(100-E405)+0.20*(100-I405)+0.15*J405+0.10*G405+0.10*K405+L405</x:f>
        <x:v>69.783</x:v>
      </x:c>
      <x:c r="N405" t="str">
        <x:f>IF(M405&lt;27,"Low",IF(M405&lt;50,"Medium","High"))</x:f>
        <x:v>High</x:v>
      </x:c>
    </x:row>
    <x:row r="406">
      <x:c r="A406" t="str">
        <x:v>ML403</x:v>
      </x:c>
      <x:c r="B406" s="26" t="n">
        <x:v>7</x:v>
      </x:c>
      <x:c r="C406" s="26" t="n">
        <x:v>6</x:v>
      </x:c>
      <x:c r="D406" s="24" t="n">
        <x:v>31.06</x:v>
      </x:c>
      <x:c r="E406" s="24" t="n">
        <x:v>33.35</x:v>
      </x:c>
      <x:c r="F406" s="24" t="n">
        <x:v>20.32</x:v>
      </x:c>
      <x:c r="G406" s="24" t="n">
        <x:v>6.59</x:v>
      </x:c>
      <x:c r="H406" s="24" t="n">
        <x:v>17.08</x:v>
      </x:c>
      <x:c r="I406" s="24" t="n">
        <x:v>0</x:v>
      </x:c>
      <x:c r="J406" s="24" t="n">
        <x:v>100</x:v>
      </x:c>
      <x:c r="K406" s="24" t="n">
        <x:v>12.26</x:v>
      </x:c>
      <x:c r="L406" s="24" t="n">
        <x:v>0.38</x:v>
      </x:c>
      <x:c r="M406" s="24" t="n">
        <x:f>0.35*(100-D406)+0.10*(100-E406)+0.20*(100-I406)+0.15*J406+0.10*G406+0.10*K406+L406</x:f>
        <x:v>68.059</x:v>
      </x:c>
      <x:c r="N406" t="str">
        <x:f>IF(M406&lt;27,"Low",IF(M406&lt;50,"Medium","High"))</x:f>
        <x:v>High</x:v>
      </x:c>
    </x:row>
    <x:row r="407">
      <x:c r="A407" t="str">
        <x:v>ML404</x:v>
      </x:c>
      <x:c r="B407" s="26" t="n">
        <x:v>8</x:v>
      </x:c>
      <x:c r="C407" s="26" t="n">
        <x:v>9</x:v>
      </x:c>
      <x:c r="D407" s="24" t="n">
        <x:v>68.64</x:v>
      </x:c>
      <x:c r="E407" s="24" t="n">
        <x:v>67.02</x:v>
      </x:c>
      <x:c r="F407" s="24" t="n">
        <x:v>42.34</x:v>
      </x:c>
      <x:c r="G407" s="24" t="n">
        <x:v>10.95</x:v>
      </x:c>
      <x:c r="H407" s="24" t="n">
        <x:v>68.63</x:v>
      </x:c>
      <x:c r="I407" s="24" t="n">
        <x:v>51.23</x:v>
      </x:c>
      <x:c r="J407" s="24" t="n">
        <x:v>0</x:v>
      </x:c>
      <x:c r="K407" s="24" t="n">
        <x:v>12.33</x:v>
      </x:c>
      <x:c r="L407" s="24" t="n">
        <x:v>-4.38</x:v>
      </x:c>
      <x:c r="M407" s="24" t="n">
        <x:f>0.35*(100-D407)+0.10*(100-E407)+0.20*(100-I407)+0.15*J407+0.10*G407+0.10*K407+L407</x:f>
        <x:v>21.976</x:v>
      </x:c>
      <x:c r="N407" t="str">
        <x:f>IF(M407&lt;27,"Low",IF(M407&lt;50,"Medium","High"))</x:f>
        <x:v>Low</x:v>
      </x:c>
    </x:row>
    <x:row r="408">
      <x:c r="A408" t="str">
        <x:v>ML405</x:v>
      </x:c>
      <x:c r="B408" s="26" t="n">
        <x:v>8</x:v>
      </x:c>
      <x:c r="C408" s="26" t="n">
        <x:v>5</x:v>
      </x:c>
      <x:c r="D408" s="24" t="n">
        <x:v>43.99</x:v>
      </x:c>
      <x:c r="E408" s="24" t="n">
        <x:v>43.41</x:v>
      </x:c>
      <x:c r="F408" s="24" t="n">
        <x:v>36.15</x:v>
      </x:c>
      <x:c r="G408" s="24" t="n">
        <x:v>4.35</x:v>
      </x:c>
      <x:c r="H408" s="24" t="n">
        <x:v>44.12</x:v>
      </x:c>
      <x:c r="I408" s="24" t="n">
        <x:v>38.08</x:v>
      </x:c>
      <x:c r="J408" s="24" t="n">
        <x:v>80</x:v>
      </x:c>
      <x:c r="K408" s="24" t="n">
        <x:v>5.77</x:v>
      </x:c>
      <x:c r="L408" s="24" t="n">
        <x:v>4.48</x:v>
      </x:c>
      <x:c r="M408" s="24" t="n">
        <x:f>0.35*(100-D408)+0.10*(100-E408)+0.20*(100-I408)+0.15*J408+0.10*G408+0.10*K408+L408</x:f>
        <x:v>55.13849999999999</x:v>
      </x:c>
      <x:c r="N408" t="str">
        <x:f>IF(M408&lt;27,"Low",IF(M408&lt;50,"Medium","High"))</x:f>
        <x:v>High</x:v>
      </x:c>
    </x:row>
    <x:row r="409">
      <x:c r="A409" t="str">
        <x:v>ML406</x:v>
      </x:c>
      <x:c r="B409" s="26" t="n">
        <x:v>7</x:v>
      </x:c>
      <x:c r="C409" s="26" t="n">
        <x:v>8</x:v>
      </x:c>
      <x:c r="D409" s="24" t="n">
        <x:v>55.81</x:v>
      </x:c>
      <x:c r="E409" s="24" t="n">
        <x:v>52.35</x:v>
      </x:c>
      <x:c r="F409" s="24" t="n">
        <x:v>37.03</x:v>
      </x:c>
      <x:c r="G409" s="24" t="n">
        <x:v>8.11</x:v>
      </x:c>
      <x:c r="H409" s="24" t="n">
        <x:v>56.87</x:v>
      </x:c>
      <x:c r="I409" s="24" t="n">
        <x:v>42.74</x:v>
      </x:c>
      <x:c r="J409" s="24" t="n">
        <x:v>12.5</x:v>
      </x:c>
      <x:c r="K409" s="24" t="n">
        <x:v>8.25</x:v>
      </x:c>
      <x:c r="L409" s="24" t="n">
        <x:v>0.42</x:v>
      </x:c>
      <x:c r="M409" s="24" t="n">
        <x:f>0.35*(100-D409)+0.10*(100-E409)+0.20*(100-I409)+0.15*J409+0.10*G409+0.10*K409+L409</x:f>
        <x:v>35.6145</x:v>
      </x:c>
      <x:c r="N409" t="str">
        <x:f>IF(M409&lt;27,"Low",IF(M409&lt;50,"Medium","High"))</x:f>
        <x:v>Medium</x:v>
      </x:c>
    </x:row>
    <x:row r="410">
      <x:c r="A410" t="str">
        <x:v>ML407</x:v>
      </x:c>
      <x:c r="B410" s="26" t="n">
        <x:v>5</x:v>
      </x:c>
      <x:c r="C410" s="26" t="n">
        <x:v>4</x:v>
      </x:c>
      <x:c r="D410" s="24" t="n">
        <x:v>73.51</x:v>
      </x:c>
      <x:c r="E410" s="24" t="n">
        <x:v>73.21</x:v>
      </x:c>
      <x:c r="F410" s="24" t="n">
        <x:v>61.4</x:v>
      </x:c>
      <x:c r="G410" s="24" t="n">
        <x:v>7.89</x:v>
      </x:c>
      <x:c r="H410" s="24" t="n">
        <x:v>65.73</x:v>
      </x:c>
      <x:c r="I410" s="24" t="n">
        <x:v>55.72</x:v>
      </x:c>
      <x:c r="J410" s="24" t="n">
        <x:v>0</x:v>
      </x:c>
      <x:c r="K410" s="24" t="n">
        <x:v>6.13</x:v>
      </x:c>
      <x:c r="L410" s="24" t="n">
        <x:v>-2.04</x:v>
      </x:c>
      <x:c r="M410" s="24" t="n">
        <x:f>0.35*(100-D410)+0.10*(100-E410)+0.20*(100-I410)+0.15*J410+0.10*G410+0.10*K410+L410</x:f>
        <x:v>20.1685</x:v>
      </x:c>
      <x:c r="N410" t="str">
        <x:f>IF(M410&lt;27,"Low",IF(M410&lt;50,"Medium","High"))</x:f>
        <x:v>Low</x:v>
      </x:c>
    </x:row>
    <x:row r="411">
      <x:c r="A411" t="str">
        <x:v>ML408</x:v>
      </x:c>
      <x:c r="B411" s="26" t="n">
        <x:v>9</x:v>
      </x:c>
      <x:c r="C411" s="26" t="n">
        <x:v>7</x:v>
      </x:c>
      <x:c r="D411" s="24" t="n">
        <x:v>18.76</x:v>
      </x:c>
      <x:c r="E411" s="24" t="n">
        <x:v>14.59</x:v>
      </x:c>
      <x:c r="F411" s="24" t="n">
        <x:v>0.96</x:v>
      </x:c>
      <x:c r="G411" s="24" t="n">
        <x:v>7.27</x:v>
      </x:c>
      <x:c r="H411" s="24" t="n">
        <x:v>11.15</x:v>
      </x:c>
      <x:c r="I411" s="24" t="n">
        <x:v>0</x:v>
      </x:c>
      <x:c r="J411" s="24" t="n">
        <x:v>100</x:v>
      </x:c>
      <x:c r="K411" s="24" t="n">
        <x:v>11.44</x:v>
      </x:c>
      <x:c r="L411" s="24" t="n">
        <x:v>-0.76</x:v>
      </x:c>
      <x:c r="M411" s="24" t="n">
        <x:f>0.35*(100-D411)+0.10*(100-E411)+0.20*(100-I411)+0.15*J411+0.10*G411+0.10*K411+L411</x:f>
        <x:v>73.086</x:v>
      </x:c>
      <x:c r="N411" t="str">
        <x:f>IF(M411&lt;27,"Low",IF(M411&lt;50,"Medium","High"))</x:f>
        <x:v>High</x:v>
      </x:c>
    </x:row>
    <x:row r="412">
      <x:c r="A412" t="str">
        <x:v>ML409</x:v>
      </x:c>
      <x:c r="B412" s="26" t="n">
        <x:v>9</x:v>
      </x:c>
      <x:c r="C412" s="26" t="n">
        <x:v>5</x:v>
      </x:c>
      <x:c r="D412" s="24" t="n">
        <x:v>66.25</x:v>
      </x:c>
      <x:c r="E412" s="24" t="n">
        <x:v>65.78</x:v>
      </x:c>
      <x:c r="F412" s="24" t="n">
        <x:v>50.89</x:v>
      </x:c>
      <x:c r="G412" s="24" t="n">
        <x:v>9.31</x:v>
      </x:c>
      <x:c r="H412" s="24" t="n">
        <x:v>56.71</x:v>
      </x:c>
      <x:c r="I412" s="24" t="n">
        <x:v>48.54</x:v>
      </x:c>
      <x:c r="J412" s="24" t="n">
        <x:v>20</x:v>
      </x:c>
      <x:c r="K412" s="24" t="n">
        <x:v>5.26</x:v>
      </x:c>
      <x:c r="L412" s="24" t="n">
        <x:v>-7.18</x:v>
      </x:c>
      <x:c r="M412" s="24" t="n">
        <x:f>0.35*(100-D412)+0.10*(100-E412)+0.20*(100-I412)+0.15*J412+0.10*G412+0.10*K412+L412</x:f>
        <x:v>22.803500000000003</x:v>
      </x:c>
      <x:c r="N412" t="str">
        <x:f>IF(M412&lt;27,"Low",IF(M412&lt;50,"Medium","High"))</x:f>
        <x:v>Low</x:v>
      </x:c>
    </x:row>
    <x:row r="413">
      <x:c r="A413" t="str">
        <x:v>ML410</x:v>
      </x:c>
      <x:c r="B413" s="26" t="n">
        <x:v>9</x:v>
      </x:c>
      <x:c r="C413" s="26" t="n">
        <x:v>7</x:v>
      </x:c>
      <x:c r="D413" s="24" t="n">
        <x:v>36.47</x:v>
      </x:c>
      <x:c r="E413" s="24" t="n">
        <x:v>33.66</x:v>
      </x:c>
      <x:c r="F413" s="24" t="n">
        <x:v>27.24</x:v>
      </x:c>
      <x:c r="G413" s="24" t="n">
        <x:v>6.32</x:v>
      </x:c>
      <x:c r="H413" s="24" t="n">
        <x:v>30.89</x:v>
      </x:c>
      <x:c r="I413" s="24" t="n">
        <x:v>7.64</x:v>
      </x:c>
      <x:c r="J413" s="24" t="n">
        <x:v>100</x:v>
      </x:c>
      <x:c r="K413" s="24" t="n">
        <x:v>12.84</x:v>
      </x:c>
      <x:c r="L413" s="24" t="n">
        <x:v>-1.3</x:v>
      </x:c>
      <x:c r="M413" s="24" t="n">
        <x:f>0.35*(100-D413)+0.10*(100-E413)+0.20*(100-I413)+0.15*J413+0.10*G413+0.10*K413+L413</x:f>
        <x:v>62.957499999999996</x:v>
      </x:c>
      <x:c r="N413" t="str">
        <x:f>IF(M413&lt;27,"Low",IF(M413&lt;50,"Medium","High"))</x:f>
        <x:v>High</x:v>
      </x:c>
    </x:row>
    <x:row r="414">
      <x:c r="A414" t="str">
        <x:v>ML411</x:v>
      </x:c>
      <x:c r="B414" s="26" t="n">
        <x:v>7</x:v>
      </x:c>
      <x:c r="C414" s="26" t="n">
        <x:v>6</x:v>
      </x:c>
      <x:c r="D414" s="24" t="n">
        <x:v>54.99</x:v>
      </x:c>
      <x:c r="E414" s="24" t="n">
        <x:v>56.99</x:v>
      </x:c>
      <x:c r="F414" s="24" t="n">
        <x:v>50.51</x:v>
      </x:c>
      <x:c r="G414" s="24" t="n">
        <x:v>5.13</x:v>
      </x:c>
      <x:c r="H414" s="24" t="n">
        <x:v>51.24</x:v>
      </x:c>
      <x:c r="I414" s="24" t="n">
        <x:v>22.59</x:v>
      </x:c>
      <x:c r="J414" s="24" t="n">
        <x:v>33.33</x:v>
      </x:c>
      <x:c r="K414" s="24" t="n">
        <x:v>15.89</x:v>
      </x:c>
      <x:c r="L414" s="24" t="n">
        <x:v>-8.25</x:v>
      </x:c>
      <x:c r="M414" s="24" t="n">
        <x:f>0.35*(100-D414)+0.10*(100-E414)+0.20*(100-I414)+0.15*J414+0.10*G414+0.10*K414+L414</x:f>
        <x:v>34.38799999999999</x:v>
      </x:c>
      <x:c r="N414" t="str">
        <x:f>IF(M414&lt;27,"Low",IF(M414&lt;50,"Medium","High"))</x:f>
        <x:v>Medium</x:v>
      </x:c>
    </x:row>
    <x:row r="415">
      <x:c r="A415" t="str">
        <x:v>ML412</x:v>
      </x:c>
      <x:c r="B415" s="26" t="n">
        <x:v>6</x:v>
      </x:c>
      <x:c r="C415" s="26" t="n">
        <x:v>5</x:v>
      </x:c>
      <x:c r="D415" s="24" t="n">
        <x:v>60.18</x:v>
      </x:c>
      <x:c r="E415" s="24" t="n">
        <x:v>58.92</x:v>
      </x:c>
      <x:c r="F415" s="24" t="n">
        <x:v>44.2</x:v>
      </x:c>
      <x:c r="G415" s="24" t="n">
        <x:v>8.39</x:v>
      </x:c>
      <x:c r="H415" s="24" t="n">
        <x:v>56.8</x:v>
      </x:c>
      <x:c r="I415" s="24" t="n">
        <x:v>36.23</x:v>
      </x:c>
      <x:c r="J415" s="24" t="n">
        <x:v>20</x:v>
      </x:c>
      <x:c r="K415" s="24" t="n">
        <x:v>12.84</x:v>
      </x:c>
      <x:c r="L415" s="24" t="n">
        <x:v>-2.35</x:v>
      </x:c>
      <x:c r="M415" s="24" t="n">
        <x:f>0.35*(100-D415)+0.10*(100-E415)+0.20*(100-I415)+0.15*J415+0.10*G415+0.10*K415+L415</x:f>
        <x:v>33.571999999999996</x:v>
      </x:c>
      <x:c r="N415" t="str">
        <x:f>IF(M415&lt;27,"Low",IF(M415&lt;50,"Medium","High"))</x:f>
        <x:v>Medium</x:v>
      </x:c>
    </x:row>
    <x:row r="416">
      <x:c r="A416" t="str">
        <x:v>ML413</x:v>
      </x:c>
      <x:c r="B416" s="26" t="n">
        <x:v>7</x:v>
      </x:c>
      <x:c r="C416" s="26" t="n">
        <x:v>4</x:v>
      </x:c>
      <x:c r="D416" s="24" t="n">
        <x:v>80.89</x:v>
      </x:c>
      <x:c r="E416" s="24" t="n">
        <x:v>81.95</x:v>
      </x:c>
      <x:c r="F416" s="24" t="n">
        <x:v>70.21</x:v>
      </x:c>
      <x:c r="G416" s="24" t="n">
        <x:v>8.34</x:v>
      </x:c>
      <x:c r="H416" s="24" t="n">
        <x:v>83.68</x:v>
      </x:c>
      <x:c r="I416" s="24" t="n">
        <x:v>73.7</x:v>
      </x:c>
      <x:c r="J416" s="24" t="n">
        <x:v>0</x:v>
      </x:c>
      <x:c r="K416" s="24" t="n">
        <x:v>7.8</x:v>
      </x:c>
      <x:c r="L416" s="24" t="n">
        <x:v>-1.37</x:v>
      </x:c>
      <x:c r="M416" s="24" t="n">
        <x:f>0.35*(100-D416)+0.10*(100-E416)+0.20*(100-I416)+0.15*J416+0.10*G416+0.10*K416+L416</x:f>
        <x:v>13.997499999999999</x:v>
      </x:c>
      <x:c r="N416" t="str">
        <x:f>IF(M416&lt;27,"Low",IF(M416&lt;50,"Medium","High"))</x:f>
        <x:v>Low</x:v>
      </x:c>
    </x:row>
    <x:row r="417">
      <x:c r="A417" t="str">
        <x:v>ML414</x:v>
      </x:c>
      <x:c r="B417" s="26" t="n">
        <x:v>5</x:v>
      </x:c>
      <x:c r="C417" s="26" t="n">
        <x:v>4</x:v>
      </x:c>
      <x:c r="D417" s="24" t="n">
        <x:v>35.83</x:v>
      </x:c>
      <x:c r="E417" s="24" t="n">
        <x:v>35.01</x:v>
      </x:c>
      <x:c r="F417" s="24" t="n">
        <x:v>24.44</x:v>
      </x:c>
      <x:c r="G417" s="24" t="n">
        <x:v>9.67</x:v>
      </x:c>
      <x:c r="H417" s="24" t="n">
        <x:v>25.99</x:v>
      </x:c>
      <x:c r="I417" s="24" t="n">
        <x:v>13.47</x:v>
      </x:c>
      <x:c r="J417" s="24" t="n">
        <x:v>100</x:v>
      </x:c>
      <x:c r="K417" s="24" t="n">
        <x:v>8.77</x:v>
      </x:c>
      <x:c r="L417" s="24" t="n">
        <x:v>0.64</x:v>
      </x:c>
      <x:c r="M417" s="24" t="n">
        <x:f>0.35*(100-D417)+0.10*(100-E417)+0.20*(100-I417)+0.15*J417+0.10*G417+0.10*K417+L417</x:f>
        <x:v>63.7485</x:v>
      </x:c>
      <x:c r="N417" t="str">
        <x:f>IF(M417&lt;27,"Low",IF(M417&lt;50,"Medium","High"))</x:f>
        <x:v>High</x:v>
      </x:c>
    </x:row>
    <x:row r="418">
      <x:c r="A418" t="str">
        <x:v>ML415</x:v>
      </x:c>
      <x:c r="B418" s="26" t="n">
        <x:v>7</x:v>
      </x:c>
      <x:c r="C418" s="26" t="n">
        <x:v>9</x:v>
      </x:c>
      <x:c r="D418" s="24" t="n">
        <x:v>86.04</x:v>
      </x:c>
      <x:c r="E418" s="24" t="n">
        <x:v>87.84</x:v>
      </x:c>
      <x:c r="F418" s="24" t="n">
        <x:v>79.87</x:v>
      </x:c>
      <x:c r="G418" s="24" t="n">
        <x:v>5.13</x:v>
      </x:c>
      <x:c r="H418" s="24" t="n">
        <x:v>84.13</x:v>
      </x:c>
      <x:c r="I418" s="24" t="n">
        <x:v>73.87</x:v>
      </x:c>
      <x:c r="J418" s="24" t="n">
        <x:v>0</x:v>
      </x:c>
      <x:c r="K418" s="24" t="n">
        <x:v>6.09</x:v>
      </x:c>
      <x:c r="L418" s="24" t="n">
        <x:v>-6.43</x:v>
      </x:c>
      <x:c r="M418" s="24" t="n">
        <x:f>0.35*(100-D418)+0.10*(100-E418)+0.20*(100-I418)+0.15*J418+0.10*G418+0.10*K418+L418</x:f>
        <x:v>6.019999999999996</x:v>
      </x:c>
      <x:c r="N418" t="str">
        <x:f>IF(M418&lt;27,"Low",IF(M418&lt;50,"Medium","High"))</x:f>
        <x:v>Low</x:v>
      </x:c>
    </x:row>
    <x:row r="419">
      <x:c r="A419" t="str">
        <x:v>ML416</x:v>
      </x:c>
      <x:c r="B419" s="26" t="n">
        <x:v>9</x:v>
      </x:c>
      <x:c r="C419" s="26" t="n">
        <x:v>6</x:v>
      </x:c>
      <x:c r="D419" s="24" t="n">
        <x:v>67.39</x:v>
      </x:c>
      <x:c r="E419" s="24" t="n">
        <x:v>72.34</x:v>
      </x:c>
      <x:c r="F419" s="24" t="n">
        <x:v>63.6</x:v>
      </x:c>
      <x:c r="G419" s="24" t="n">
        <x:v>5.64</x:v>
      </x:c>
      <x:c r="H419" s="24" t="n">
        <x:v>66.74</x:v>
      </x:c>
      <x:c r="I419" s="24" t="n">
        <x:v>61.67</x:v>
      </x:c>
      <x:c r="J419" s="24" t="n">
        <x:v>0</x:v>
      </x:c>
      <x:c r="K419" s="24" t="n">
        <x:v>2.52</x:v>
      </x:c>
      <x:c r="L419" s="24" t="n">
        <x:v>1.53</x:v>
      </x:c>
      <x:c r="M419" s="24" t="n">
        <x:f>0.35*(100-D419)+0.10*(100-E419)+0.20*(100-I419)+0.15*J419+0.10*G419+0.10*K419+L419</x:f>
        <x:v>24.1915</x:v>
      </x:c>
      <x:c r="N419" t="str">
        <x:f>IF(M419&lt;27,"Low",IF(M419&lt;50,"Medium","High"))</x:f>
        <x:v>Low</x:v>
      </x:c>
    </x:row>
    <x:row r="420">
      <x:c r="A420" t="str">
        <x:v>ML417</x:v>
      </x:c>
      <x:c r="B420" s="26" t="n">
        <x:v>6</x:v>
      </x:c>
      <x:c r="C420" s="26" t="n">
        <x:v>7</x:v>
      </x:c>
      <x:c r="D420" s="24" t="n">
        <x:v>73.77</x:v>
      </x:c>
      <x:c r="E420" s="24" t="n">
        <x:v>73.78</x:v>
      </x:c>
      <x:c r="F420" s="24" t="n">
        <x:v>65.78</x:v>
      </x:c>
      <x:c r="G420" s="24" t="n">
        <x:v>4.66</x:v>
      </x:c>
      <x:c r="H420" s="24" t="n">
        <x:v>63.44</x:v>
      </x:c>
      <x:c r="I420" s="24" t="n">
        <x:v>44.58</x:v>
      </x:c>
      <x:c r="J420" s="24" t="n">
        <x:v>14.29</x:v>
      </x:c>
      <x:c r="K420" s="24" t="n">
        <x:v>9.11</x:v>
      </x:c>
      <x:c r="L420" s="24" t="n">
        <x:v>-4.45</x:v>
      </x:c>
      <x:c r="M420" s="24" t="n">
        <x:f>0.35*(100-D420)+0.10*(100-E420)+0.20*(100-I420)+0.15*J420+0.10*G420+0.10*K420+L420</x:f>
        <x:v>21.957000000000004</x:v>
      </x:c>
      <x:c r="N420" t="str">
        <x:f>IF(M420&lt;27,"Low",IF(M420&lt;50,"Medium","High"))</x:f>
        <x:v>Low</x:v>
      </x:c>
    </x:row>
    <x:row r="421">
      <x:c r="A421" t="str">
        <x:v>ML418</x:v>
      </x:c>
      <x:c r="B421" s="26" t="n">
        <x:v>9</x:v>
      </x:c>
      <x:c r="C421" s="26" t="n">
        <x:v>8</x:v>
      </x:c>
      <x:c r="D421" s="24" t="n">
        <x:v>45.29</x:v>
      </x:c>
      <x:c r="E421" s="24" t="n">
        <x:v>45.45</x:v>
      </x:c>
      <x:c r="F421" s="24" t="n">
        <x:v>35.25</x:v>
      </x:c>
      <x:c r="G421" s="24" t="n">
        <x:v>10.44</x:v>
      </x:c>
      <x:c r="H421" s="24" t="n">
        <x:v>46.48</x:v>
      </x:c>
      <x:c r="I421" s="24" t="n">
        <x:v>27.58</x:v>
      </x:c>
      <x:c r="J421" s="24" t="n">
        <x:v>62.5</x:v>
      </x:c>
      <x:c r="K421" s="24" t="n">
        <x:v>13.47</x:v>
      </x:c>
      <x:c r="L421" s="24" t="n">
        <x:v>-3.79</x:v>
      </x:c>
      <x:c r="M421" s="24" t="n">
        <x:f>0.35*(100-D421)+0.10*(100-E421)+0.20*(100-I421)+0.15*J421+0.10*G421+0.10*K421+L421</x:f>
        <x:v>47.0635</x:v>
      </x:c>
      <x:c r="N421" t="str">
        <x:f>IF(M421&lt;27,"Low",IF(M421&lt;50,"Medium","High"))</x:f>
        <x:v>Medium</x:v>
      </x:c>
    </x:row>
    <x:row r="422">
      <x:c r="A422" t="str">
        <x:v>ML419</x:v>
      </x:c>
      <x:c r="B422" s="26" t="n">
        <x:v>7</x:v>
      </x:c>
      <x:c r="C422" s="26" t="n">
        <x:v>10</x:v>
      </x:c>
      <x:c r="D422" s="24" t="n">
        <x:v>68.25</x:v>
      </x:c>
      <x:c r="E422" s="24" t="n">
        <x:v>67.05</x:v>
      </x:c>
      <x:c r="F422" s="24" t="n">
        <x:v>60.04</x:v>
      </x:c>
      <x:c r="G422" s="24" t="n">
        <x:v>7.12</x:v>
      </x:c>
      <x:c r="H422" s="24" t="n">
        <x:v>63.01</x:v>
      </x:c>
      <x:c r="I422" s="24" t="n">
        <x:v>44.99</x:v>
      </x:c>
      <x:c r="J422" s="24" t="n">
        <x:v>10</x:v>
      </x:c>
      <x:c r="K422" s="24" t="n">
        <x:v>8.35</x:v>
      </x:c>
      <x:c r="L422" s="24" t="n">
        <x:v>-3.03</x:v>
      </x:c>
      <x:c r="M422" s="24" t="n">
        <x:f>0.35*(100-D422)+0.10*(100-E422)+0.20*(100-I422)+0.15*J422+0.10*G422+0.10*K422+L422</x:f>
        <x:v>25.4265</x:v>
      </x:c>
      <x:c r="N422" t="str">
        <x:f>IF(M422&lt;27,"Low",IF(M422&lt;50,"Medium","High"))</x:f>
        <x:v>Low</x:v>
      </x:c>
    </x:row>
    <x:row r="423">
      <x:c r="A423" t="str">
        <x:v>ML420</x:v>
      </x:c>
      <x:c r="B423" s="26" t="n">
        <x:v>5</x:v>
      </x:c>
      <x:c r="C423" s="26" t="n">
        <x:v>7</x:v>
      </x:c>
      <x:c r="D423" s="24" t="n">
        <x:v>51.44</x:v>
      </x:c>
      <x:c r="E423" s="24" t="n">
        <x:v>49.49</x:v>
      </x:c>
      <x:c r="F423" s="24" t="n">
        <x:v>45.19</x:v>
      </x:c>
      <x:c r="G423" s="24" t="n">
        <x:v>3.45</x:v>
      </x:c>
      <x:c r="H423" s="24" t="n">
        <x:v>39.68</x:v>
      </x:c>
      <x:c r="I423" s="24" t="n">
        <x:v>25.96</x:v>
      </x:c>
      <x:c r="J423" s="24" t="n">
        <x:v>85.71</x:v>
      </x:c>
      <x:c r="K423" s="24" t="n">
        <x:v>7.26</x:v>
      </x:c>
      <x:c r="L423" s="24" t="n">
        <x:v>-1.92</x:v>
      </x:c>
      <x:c r="M423" s="24" t="n">
        <x:f>0.35*(100-D423)+0.10*(100-E423)+0.20*(100-I423)+0.15*J423+0.10*G423+0.10*K423+L423</x:f>
        <x:v>48.86249999999999</x:v>
      </x:c>
      <x:c r="N423" t="str">
        <x:f>IF(M423&lt;27,"Low",IF(M423&lt;50,"Medium","High"))</x:f>
        <x:v>Medium</x:v>
      </x:c>
    </x:row>
    <x:row r="424">
      <x:c r="A424" t="str">
        <x:v>ML421</x:v>
      </x:c>
      <x:c r="B424" s="26" t="n">
        <x:v>9</x:v>
      </x:c>
      <x:c r="C424" s="26" t="n">
        <x:v>6</x:v>
      </x:c>
      <x:c r="D424" s="24" t="n">
        <x:v>60.34</x:v>
      </x:c>
      <x:c r="E424" s="24" t="n">
        <x:v>61.98</x:v>
      </x:c>
      <x:c r="F424" s="24" t="n">
        <x:v>41.47</x:v>
      </x:c>
      <x:c r="G424" s="24" t="n">
        <x:v>9.46</x:v>
      </x:c>
      <x:c r="H424" s="24" t="n">
        <x:v>64.8</x:v>
      </x:c>
      <x:c r="I424" s="24" t="n">
        <x:v>45.19</x:v>
      </x:c>
      <x:c r="J424" s="24" t="n">
        <x:v>16.67</x:v>
      </x:c>
      <x:c r="K424" s="24" t="n">
        <x:v>12.02</x:v>
      </x:c>
      <x:c r="L424" s="24" t="n">
        <x:v>-5.04</x:v>
      </x:c>
      <x:c r="M424" s="24" t="n">
        <x:f>0.35*(100-D424)+0.10*(100-E424)+0.20*(100-I424)+0.15*J424+0.10*G424+0.10*K424+L424</x:f>
        <x:v>28.253500000000003</x:v>
      </x:c>
      <x:c r="N424" t="str">
        <x:f>IF(M424&lt;27,"Low",IF(M424&lt;50,"Medium","High"))</x:f>
        <x:v>Medium</x:v>
      </x:c>
    </x:row>
    <x:row r="425">
      <x:c r="A425" t="str">
        <x:v>ML422</x:v>
      </x:c>
      <x:c r="B425" s="26" t="n">
        <x:v>7</x:v>
      </x:c>
      <x:c r="C425" s="26" t="n">
        <x:v>10</x:v>
      </x:c>
      <x:c r="D425" s="24" t="n">
        <x:v>78.81</x:v>
      </x:c>
      <x:c r="E425" s="24" t="n">
        <x:v>78.39</x:v>
      </x:c>
      <x:c r="F425" s="24" t="n">
        <x:v>69.7</x:v>
      </x:c>
      <x:c r="G425" s="24" t="n">
        <x:v>4.08</x:v>
      </x:c>
      <x:c r="H425" s="24" t="n">
        <x:v>86.39</x:v>
      </x:c>
      <x:c r="I425" s="24" t="n">
        <x:v>59.18</x:v>
      </x:c>
      <x:c r="J425" s="24" t="n">
        <x:v>0</x:v>
      </x:c>
      <x:c r="K425" s="24" t="n">
        <x:v>11.75</x:v>
      </x:c>
      <x:c r="L425" s="24" t="n">
        <x:v>-2.86</x:v>
      </x:c>
      <x:c r="M425" s="24" t="n">
        <x:f>0.35*(100-D425)+0.10*(100-E425)+0.20*(100-I425)+0.15*J425+0.10*G425+0.10*K425+L425</x:f>
        <x:v>16.4645</x:v>
      </x:c>
      <x:c r="N425" t="str">
        <x:f>IF(M425&lt;27,"Low",IF(M425&lt;50,"Medium","High"))</x:f>
        <x:v>Low</x:v>
      </x:c>
    </x:row>
    <x:row r="426">
      <x:c r="A426" t="str">
        <x:v>ML423</x:v>
      </x:c>
      <x:c r="B426" s="26" t="n">
        <x:v>5</x:v>
      </x:c>
      <x:c r="C426" s="26" t="n">
        <x:v>4</x:v>
      </x:c>
      <x:c r="D426" s="24" t="n">
        <x:v>93.59</x:v>
      </x:c>
      <x:c r="E426" s="24" t="n">
        <x:v>93.48</x:v>
      </x:c>
      <x:c r="F426" s="24" t="n">
        <x:v>81.05</x:v>
      </x:c>
      <x:c r="G426" s="24" t="n">
        <x:v>7.15</x:v>
      </x:c>
      <x:c r="H426" s="24" t="n">
        <x:v>78.76</x:v>
      </x:c>
      <x:c r="I426" s="24" t="n">
        <x:v>66.87</x:v>
      </x:c>
      <x:c r="J426" s="24" t="n">
        <x:v>0</x:v>
      </x:c>
      <x:c r="K426" s="24" t="n">
        <x:v>9.5</x:v>
      </x:c>
      <x:c r="L426" s="24" t="n">
        <x:v>0.68</x:v>
      </x:c>
      <x:c r="M426" s="24" t="n">
        <x:f>0.35*(100-D426)+0.10*(100-E426)+0.20*(100-I426)+0.15*J426+0.10*G426+0.10*K426+L426</x:f>
        <x:v>11.866499999999997</x:v>
      </x:c>
      <x:c r="N426" t="str">
        <x:f>IF(M426&lt;27,"Low",IF(M426&lt;50,"Medium","High"))</x:f>
        <x:v>Low</x:v>
      </x:c>
    </x:row>
    <x:row r="427">
      <x:c r="A427" t="str">
        <x:v>ML424</x:v>
      </x:c>
      <x:c r="B427" s="26" t="n">
        <x:v>9</x:v>
      </x:c>
      <x:c r="C427" s="26" t="n">
        <x:v>7</x:v>
      </x:c>
      <x:c r="D427" s="24" t="n">
        <x:v>78.07</x:v>
      </x:c>
      <x:c r="E427" s="24" t="n">
        <x:v>79.22</x:v>
      </x:c>
      <x:c r="F427" s="24" t="n">
        <x:v>55.5</x:v>
      </x:c>
      <x:c r="G427" s="24" t="n">
        <x:v>13.5</x:v>
      </x:c>
      <x:c r="H427" s="24" t="n">
        <x:v>72.17</x:v>
      </x:c>
      <x:c r="I427" s="24" t="n">
        <x:v>55.58</x:v>
      </x:c>
      <x:c r="J427" s="24" t="n">
        <x:v>0</x:v>
      </x:c>
      <x:c r="K427" s="24" t="n">
        <x:v>11.63</x:v>
      </x:c>
      <x:c r="L427" s="24" t="n">
        <x:v>-0.18</x:v>
      </x:c>
      <x:c r="M427" s="24" t="n">
        <x:f>0.35*(100-D427)+0.10*(100-E427)+0.20*(100-I427)+0.15*J427+0.10*G427+0.10*K427+L427</x:f>
        <x:v>20.970500000000005</x:v>
      </x:c>
      <x:c r="N427" t="str">
        <x:f>IF(M427&lt;27,"Low",IF(M427&lt;50,"Medium","High"))</x:f>
        <x:v>Low</x:v>
      </x:c>
    </x:row>
    <x:row r="428">
      <x:c r="A428" t="str">
        <x:v>ML425</x:v>
      </x:c>
      <x:c r="B428" s="26" t="n">
        <x:v>7</x:v>
      </x:c>
      <x:c r="C428" s="26" t="n">
        <x:v>5</x:v>
      </x:c>
      <x:c r="D428" s="24" t="n">
        <x:v>79.78</x:v>
      </x:c>
      <x:c r="E428" s="24" t="n">
        <x:v>80.78</x:v>
      </x:c>
      <x:c r="F428" s="24" t="n">
        <x:v>72.52</x:v>
      </x:c>
      <x:c r="G428" s="24" t="n">
        <x:v>6.08</x:v>
      </x:c>
      <x:c r="H428" s="24" t="n">
        <x:v>81.48</x:v>
      </x:c>
      <x:c r="I428" s="24" t="n">
        <x:v>67.89</x:v>
      </x:c>
      <x:c r="J428" s="24" t="n">
        <x:v>0</x:v>
      </x:c>
      <x:c r="K428" s="24" t="n">
        <x:v>10.4</x:v>
      </x:c>
      <x:c r="L428" s="24" t="n">
        <x:v>3.59</x:v>
      </x:c>
      <x:c r="M428" s="24" t="n">
        <x:f>0.35*(100-D428)+0.10*(100-E428)+0.20*(100-I428)+0.15*J428+0.10*G428+0.10*K428+L428</x:f>
        <x:v>20.659</x:v>
      </x:c>
      <x:c r="N428" t="str">
        <x:f>IF(M428&lt;27,"Low",IF(M428&lt;50,"Medium","High"))</x:f>
        <x:v>Low</x:v>
      </x:c>
    </x:row>
    <x:row r="429">
      <x:c r="A429" t="str">
        <x:v>ML426</x:v>
      </x:c>
      <x:c r="B429" s="26" t="n">
        <x:v>4</x:v>
      </x:c>
      <x:c r="C429" s="26" t="n">
        <x:v>4</x:v>
      </x:c>
      <x:c r="D429" s="24" t="n">
        <x:v>37.58</x:v>
      </x:c>
      <x:c r="E429" s="24" t="n">
        <x:v>39.3</x:v>
      </x:c>
      <x:c r="F429" s="24" t="n">
        <x:v>27.29</x:v>
      </x:c>
      <x:c r="G429" s="24" t="n">
        <x:v>9.95</x:v>
      </x:c>
      <x:c r="H429" s="24" t="n">
        <x:v>29.05</x:v>
      </x:c>
      <x:c r="I429" s="24" t="n">
        <x:v>7.5</x:v>
      </x:c>
      <x:c r="J429" s="24" t="n">
        <x:v>100</x:v>
      </x:c>
      <x:c r="K429" s="24" t="n">
        <x:v>15.29</x:v>
      </x:c>
      <x:c r="L429" s="24" t="n">
        <x:v>0.45</x:v>
      </x:c>
      <x:c r="M429" s="24" t="n">
        <x:f>0.35*(100-D429)+0.10*(100-E429)+0.20*(100-I429)+0.15*J429+0.10*G429+0.10*K429+L429</x:f>
        <x:v>64.391</x:v>
      </x:c>
      <x:c r="N429" t="str">
        <x:f>IF(M429&lt;27,"Low",IF(M429&lt;50,"Medium","High"))</x:f>
        <x:v>High</x:v>
      </x:c>
    </x:row>
    <x:row r="430">
      <x:c r="A430" t="str">
        <x:v>ML427</x:v>
      </x:c>
      <x:c r="B430" s="26" t="n">
        <x:v>4</x:v>
      </x:c>
      <x:c r="C430" s="26" t="n">
        <x:v>8</x:v>
      </x:c>
      <x:c r="D430" s="24" t="n">
        <x:v>64.51</x:v>
      </x:c>
      <x:c r="E430" s="24" t="n">
        <x:v>68.37</x:v>
      </x:c>
      <x:c r="F430" s="24" t="n">
        <x:v>49.57</x:v>
      </x:c>
      <x:c r="G430" s="24" t="n">
        <x:v>12.19</x:v>
      </x:c>
      <x:c r="H430" s="24" t="n">
        <x:v>67.29</x:v>
      </x:c>
      <x:c r="I430" s="24" t="n">
        <x:v>39.18</x:v>
      </x:c>
      <x:c r="J430" s="24" t="n">
        <x:v>12.5</x:v>
      </x:c>
      <x:c r="K430" s="24" t="n">
        <x:v>16.92</x:v>
      </x:c>
      <x:c r="L430" s="24" t="n">
        <x:v>-6.57</x:v>
      </x:c>
      <x:c r="M430" s="24" t="n">
        <x:f>0.35*(100-D430)+0.10*(100-E430)+0.20*(100-I430)+0.15*J430+0.10*G430+0.10*K430+L430</x:f>
        <x:v>25.9645</x:v>
      </x:c>
      <x:c r="N430" t="str">
        <x:f>IF(M430&lt;27,"Low",IF(M430&lt;50,"Medium","High"))</x:f>
        <x:v>Low</x:v>
      </x:c>
    </x:row>
    <x:row r="431">
      <x:c r="A431" t="str">
        <x:v>ML428</x:v>
      </x:c>
      <x:c r="B431" s="26" t="n">
        <x:v>5</x:v>
      </x:c>
      <x:c r="C431" s="26" t="n">
        <x:v>4</x:v>
      </x:c>
      <x:c r="D431" s="24" t="n">
        <x:v>48.58</x:v>
      </x:c>
      <x:c r="E431" s="24" t="n">
        <x:v>50.49</x:v>
      </x:c>
      <x:c r="F431" s="24" t="n">
        <x:v>43.43</x:v>
      </x:c>
      <x:c r="G431" s="24" t="n">
        <x:v>6.4</x:v>
      </x:c>
      <x:c r="H431" s="24" t="n">
        <x:v>27.72</x:v>
      </x:c>
      <x:c r="I431" s="24" t="n">
        <x:v>22.39</x:v>
      </x:c>
      <x:c r="J431" s="24" t="n">
        <x:v>100</x:v>
      </x:c>
      <x:c r="K431" s="24" t="n">
        <x:v>6.3</x:v>
      </x:c>
      <x:c r="L431" s="24" t="n">
        <x:v>4.49</x:v>
      </x:c>
      <x:c r="M431" s="24" t="n">
        <x:f>0.35*(100-D431)+0.10*(100-E431)+0.20*(100-I431)+0.15*J431+0.10*G431+0.10*K431+L431</x:f>
        <x:v>59.230000000000004</x:v>
      </x:c>
      <x:c r="N431" t="str">
        <x:f>IF(M431&lt;27,"Low",IF(M431&lt;50,"Medium","High"))</x:f>
        <x:v>High</x:v>
      </x:c>
    </x:row>
    <x:row r="432">
      <x:c r="A432" t="str">
        <x:v>ML429</x:v>
      </x:c>
      <x:c r="B432" s="26" t="n">
        <x:v>6</x:v>
      </x:c>
      <x:c r="C432" s="26" t="n">
        <x:v>8</x:v>
      </x:c>
      <x:c r="D432" s="24" t="n">
        <x:v>72.39</x:v>
      </x:c>
      <x:c r="E432" s="24" t="n">
        <x:v>67.72</x:v>
      </x:c>
      <x:c r="F432" s="24" t="n">
        <x:v>59.68</x:v>
      </x:c>
      <x:c r="G432" s="24" t="n">
        <x:v>4.1</x:v>
      </x:c>
      <x:c r="H432" s="24" t="n">
        <x:v>66.3</x:v>
      </x:c>
      <x:c r="I432" s="24" t="n">
        <x:v>55.8</x:v>
      </x:c>
      <x:c r="J432" s="24" t="n">
        <x:v>0</x:v>
      </x:c>
      <x:c r="K432" s="24" t="n">
        <x:v>8.27</x:v>
      </x:c>
      <x:c r="L432" s="24" t="n">
        <x:v>0.97</x:v>
      </x:c>
      <x:c r="M432" s="24" t="n">
        <x:f>0.35*(100-D432)+0.10*(100-E432)+0.20*(100-I432)+0.15*J432+0.10*G432+0.10*K432+L432</x:f>
        <x:v>23.938499999999998</x:v>
      </x:c>
      <x:c r="N432" t="str">
        <x:f>IF(M432&lt;27,"Low",IF(M432&lt;50,"Medium","High"))</x:f>
        <x:v>Low</x:v>
      </x:c>
    </x:row>
    <x:row r="433">
      <x:c r="A433" t="str">
        <x:v>ML430</x:v>
      </x:c>
      <x:c r="B433" s="26" t="n">
        <x:v>9</x:v>
      </x:c>
      <x:c r="C433" s="26" t="n">
        <x:v>8</x:v>
      </x:c>
      <x:c r="D433" s="24" t="n">
        <x:v>42.32</x:v>
      </x:c>
      <x:c r="E433" s="24" t="n">
        <x:v>40.15</x:v>
      </x:c>
      <x:c r="F433" s="24" t="n">
        <x:v>30.17</x:v>
      </x:c>
      <x:c r="G433" s="24" t="n">
        <x:v>7.68</x:v>
      </x:c>
      <x:c r="H433" s="24" t="n">
        <x:v>33.65</x:v>
      </x:c>
      <x:c r="I433" s="24" t="n">
        <x:v>16.38</x:v>
      </x:c>
      <x:c r="J433" s="24" t="n">
        <x:v>87.5</x:v>
      </x:c>
      <x:c r="K433" s="24" t="n">
        <x:v>11.99</x:v>
      </x:c>
      <x:c r="L433" s="24" t="n">
        <x:v>-2.36</x:v>
      </x:c>
      <x:c r="M433" s="24" t="n">
        <x:f>0.35*(100-D433)+0.10*(100-E433)+0.20*(100-I433)+0.15*J433+0.10*G433+0.10*K433+L433</x:f>
        <x:v>55.629</x:v>
      </x:c>
      <x:c r="N433" t="str">
        <x:f>IF(M433&lt;27,"Low",IF(M433&lt;50,"Medium","High"))</x:f>
        <x:v>High</x:v>
      </x:c>
    </x:row>
    <x:row r="434">
      <x:c r="A434" t="str">
        <x:v>ML431</x:v>
      </x:c>
      <x:c r="B434" s="26" t="n">
        <x:v>7</x:v>
      </x:c>
      <x:c r="C434" s="26" t="n">
        <x:v>4</x:v>
      </x:c>
      <x:c r="D434" s="24" t="n">
        <x:v>44.55</x:v>
      </x:c>
      <x:c r="E434" s="24" t="n">
        <x:v>46.64</x:v>
      </x:c>
      <x:c r="F434" s="24" t="n">
        <x:v>35.83</x:v>
      </x:c>
      <x:c r="G434" s="24" t="n">
        <x:v>7.94</x:v>
      </x:c>
      <x:c r="H434" s="24" t="n">
        <x:v>44.32</x:v>
      </x:c>
      <x:c r="I434" s="24" t="n">
        <x:v>36.22</x:v>
      </x:c>
      <x:c r="J434" s="24" t="n">
        <x:v>100</x:v>
      </x:c>
      <x:c r="K434" s="24" t="n">
        <x:v>4.72</x:v>
      </x:c>
      <x:c r="L434" s="24" t="n">
        <x:v>-0.95</x:v>
      </x:c>
      <x:c r="M434" s="24" t="n">
        <x:f>0.35*(100-D434)+0.10*(100-E434)+0.20*(100-I434)+0.15*J434+0.10*G434+0.10*K434+L434</x:f>
        <x:v>52.81549999999999</x:v>
      </x:c>
      <x:c r="N434" t="str">
        <x:f>IF(M434&lt;27,"Low",IF(M434&lt;50,"Medium","High"))</x:f>
        <x:v>High</x:v>
      </x:c>
    </x:row>
    <x:row r="435">
      <x:c r="A435" t="str">
        <x:v>ML432</x:v>
      </x:c>
      <x:c r="B435" s="26" t="n">
        <x:v>5</x:v>
      </x:c>
      <x:c r="C435" s="26" t="n">
        <x:v>4</x:v>
      </x:c>
      <x:c r="D435" s="24" t="n">
        <x:v>46.41</x:v>
      </x:c>
      <x:c r="E435" s="24" t="n">
        <x:v>44.02</x:v>
      </x:c>
      <x:c r="F435" s="24" t="n">
        <x:v>26.89</x:v>
      </x:c>
      <x:c r="G435" s="24" t="n">
        <x:v>11.2</x:v>
      </x:c>
      <x:c r="H435" s="24" t="n">
        <x:v>38.44</x:v>
      </x:c>
      <x:c r="I435" s="24" t="n">
        <x:v>28.64</x:v>
      </x:c>
      <x:c r="J435" s="24" t="n">
        <x:v>100</x:v>
      </x:c>
      <x:c r="K435" s="24" t="n">
        <x:v>6.58</x:v>
      </x:c>
      <x:c r="L435" s="24" t="n">
        <x:v>-1.03</x:v>
      </x:c>
      <x:c r="M435" s="24" t="n">
        <x:f>0.35*(100-D435)+0.10*(100-E435)+0.20*(100-I435)+0.15*J435+0.10*G435+0.10*K435+L435</x:f>
        <x:v>54.3745</x:v>
      </x:c>
      <x:c r="N435" t="str">
        <x:f>IF(M435&lt;27,"Low",IF(M435&lt;50,"Medium","High"))</x:f>
        <x:v>High</x:v>
      </x:c>
    </x:row>
    <x:row r="436">
      <x:c r="A436" t="str">
        <x:v>ML433</x:v>
      </x:c>
      <x:c r="B436" s="26" t="n">
        <x:v>7</x:v>
      </x:c>
      <x:c r="C436" s="26" t="n">
        <x:v>7</x:v>
      </x:c>
      <x:c r="D436" s="24" t="n">
        <x:v>64.4</x:v>
      </x:c>
      <x:c r="E436" s="24" t="n">
        <x:v>60.21</x:v>
      </x:c>
      <x:c r="F436" s="24" t="n">
        <x:v>50.14</x:v>
      </x:c>
      <x:c r="G436" s="24" t="n">
        <x:v>6.98</x:v>
      </x:c>
      <x:c r="H436" s="24" t="n">
        <x:v>49.51</x:v>
      </x:c>
      <x:c r="I436" s="24" t="n">
        <x:v>22.85</x:v>
      </x:c>
      <x:c r="J436" s="24" t="n">
        <x:v>42.86</x:v>
      </x:c>
      <x:c r="K436" s="24" t="n">
        <x:v>16.75</x:v>
      </x:c>
      <x:c r="L436" s="24" t="n">
        <x:v>0.69</x:v>
      </x:c>
      <x:c r="M436" s="24" t="n">
        <x:f>0.35*(100-D436)+0.10*(100-E436)+0.20*(100-I436)+0.15*J436+0.10*G436+0.10*K436+L436</x:f>
        <x:v>41.361</x:v>
      </x:c>
      <x:c r="N436" t="str">
        <x:f>IF(M436&lt;27,"Low",IF(M436&lt;50,"Medium","High"))</x:f>
        <x:v>Medium</x:v>
      </x:c>
    </x:row>
    <x:row r="437">
      <x:c r="A437" t="str">
        <x:v>ML434</x:v>
      </x:c>
      <x:c r="B437" s="26" t="n">
        <x:v>7</x:v>
      </x:c>
      <x:c r="C437" s="26" t="n">
        <x:v>5</x:v>
      </x:c>
      <x:c r="D437" s="24" t="n">
        <x:v>52.61</x:v>
      </x:c>
      <x:c r="E437" s="24" t="n">
        <x:v>51.69</x:v>
      </x:c>
      <x:c r="F437" s="24" t="n">
        <x:v>46.45</x:v>
      </x:c>
      <x:c r="G437" s="24" t="n">
        <x:v>5.33</x:v>
      </x:c>
      <x:c r="H437" s="24" t="n">
        <x:v>52.46</x:v>
      </x:c>
      <x:c r="I437" s="24" t="n">
        <x:v>42.29</x:v>
      </x:c>
      <x:c r="J437" s="24" t="n">
        <x:v>20</x:v>
      </x:c>
      <x:c r="K437" s="24" t="n">
        <x:v>5.26</x:v>
      </x:c>
      <x:c r="L437" s="24" t="n">
        <x:v>2.54</x:v>
      </x:c>
      <x:c r="M437" s="24" t="n">
        <x:f>0.35*(100-D437)+0.10*(100-E437)+0.20*(100-I437)+0.15*J437+0.10*G437+0.10*K437+L437</x:f>
        <x:v>39.55850000000001</x:v>
      </x:c>
      <x:c r="N437" t="str">
        <x:f>IF(M437&lt;27,"Low",IF(M437&lt;50,"Medium","High"))</x:f>
        <x:v>Medium</x:v>
      </x:c>
    </x:row>
    <x:row r="438">
      <x:c r="A438" t="str">
        <x:v>ML435</x:v>
      </x:c>
      <x:c r="B438" s="26" t="n">
        <x:v>6</x:v>
      </x:c>
      <x:c r="C438" s="26" t="n">
        <x:v>10</x:v>
      </x:c>
      <x:c r="D438" s="24" t="n">
        <x:v>87.74</x:v>
      </x:c>
      <x:c r="E438" s="24" t="n">
        <x:v>84.64</x:v>
      </x:c>
      <x:c r="F438" s="24" t="n">
        <x:v>66.81</x:v>
      </x:c>
      <x:c r="G438" s="24" t="n">
        <x:v>9.88</x:v>
      </x:c>
      <x:c r="H438" s="24" t="n">
        <x:v>74.65</x:v>
      </x:c>
      <x:c r="I438" s="24" t="n">
        <x:v>44.76</x:v>
      </x:c>
      <x:c r="J438" s="24" t="n">
        <x:v>10</x:v>
      </x:c>
      <x:c r="K438" s="24" t="n">
        <x:v>13.91</x:v>
      </x:c>
      <x:c r="L438" s="24" t="n">
        <x:v>2.07</x:v>
      </x:c>
      <x:c r="M438" s="24" t="n">
        <x:f>0.35*(100-D438)+0.10*(100-E438)+0.20*(100-I438)+0.15*J438+0.10*G438+0.10*K438+L438</x:f>
        <x:v>22.824000000000005</x:v>
      </x:c>
      <x:c r="N438" t="str">
        <x:f>IF(M438&lt;27,"Low",IF(M438&lt;50,"Medium","High"))</x:f>
        <x:v>Low</x:v>
      </x:c>
    </x:row>
    <x:row r="439">
      <x:c r="A439" t="str">
        <x:v>ML436</x:v>
      </x:c>
      <x:c r="B439" s="26" t="n">
        <x:v>4</x:v>
      </x:c>
      <x:c r="C439" s="26" t="n">
        <x:v>10</x:v>
      </x:c>
      <x:c r="D439" s="24" t="n">
        <x:v>87.53</x:v>
      </x:c>
      <x:c r="E439" s="24" t="n">
        <x:v>90.55</x:v>
      </x:c>
      <x:c r="F439" s="24" t="n">
        <x:v>89.51</x:v>
      </x:c>
      <x:c r="G439" s="24" t="n">
        <x:v>0.93</x:v>
      </x:c>
      <x:c r="H439" s="24" t="n">
        <x:v>81.81</x:v>
      </x:c>
      <x:c r="I439" s="24" t="n">
        <x:v>61.69</x:v>
      </x:c>
      <x:c r="J439" s="24" t="n">
        <x:v>0</x:v>
      </x:c>
      <x:c r="K439" s="24" t="n">
        <x:v>8.64</x:v>
      </x:c>
      <x:c r="L439" s="24" t="n">
        <x:v>0.77</x:v>
      </x:c>
      <x:c r="M439" s="24" t="n">
        <x:f>0.35*(100-D439)+0.10*(100-E439)+0.20*(100-I439)+0.15*J439+0.10*G439+0.10*K439+L439</x:f>
        <x:v>14.698500000000001</x:v>
      </x:c>
      <x:c r="N439" t="str">
        <x:f>IF(M439&lt;27,"Low",IF(M439&lt;50,"Medium","High"))</x:f>
        <x:v>Low</x:v>
      </x:c>
    </x:row>
    <x:row r="440">
      <x:c r="A440" t="str">
        <x:v>ML437</x:v>
      </x:c>
      <x:c r="B440" s="26" t="n">
        <x:v>7</x:v>
      </x:c>
      <x:c r="C440" s="26" t="n">
        <x:v>8</x:v>
      </x:c>
      <x:c r="D440" s="24" t="n">
        <x:v>79.22</x:v>
      </x:c>
      <x:c r="E440" s="24" t="n">
        <x:v>78.29</x:v>
      </x:c>
      <x:c r="F440" s="24" t="n">
        <x:v>61.73</x:v>
      </x:c>
      <x:c r="G440" s="24" t="n">
        <x:v>9.85</x:v>
      </x:c>
      <x:c r="H440" s="24" t="n">
        <x:v>73.89</x:v>
      </x:c>
      <x:c r="I440" s="24" t="n">
        <x:v>53.04</x:v>
      </x:c>
      <x:c r="J440" s="24" t="n">
        <x:v>0</x:v>
      </x:c>
      <x:c r="K440" s="24" t="n">
        <x:v>12.61</x:v>
      </x:c>
      <x:c r="L440" s="24" t="n">
        <x:v>2.18</x:v>
      </x:c>
      <x:c r="M440" s="24" t="n">
        <x:f>0.35*(100-D440)+0.10*(100-E440)+0.20*(100-I440)+0.15*J440+0.10*G440+0.10*K440+L440</x:f>
        <x:v>23.261999999999997</x:v>
      </x:c>
      <x:c r="N440" t="str">
        <x:f>IF(M440&lt;27,"Low",IF(M440&lt;50,"Medium","High"))</x:f>
        <x:v>Low</x:v>
      </x:c>
    </x:row>
    <x:row r="441">
      <x:c r="A441" t="str">
        <x:v>ML438</x:v>
      </x:c>
      <x:c r="B441" s="26" t="n">
        <x:v>4</x:v>
      </x:c>
      <x:c r="C441" s="26" t="n">
        <x:v>10</x:v>
      </x:c>
      <x:c r="D441" s="24" t="n">
        <x:v>75.87</x:v>
      </x:c>
      <x:c r="E441" s="24" t="n">
        <x:v>76.91</x:v>
      </x:c>
      <x:c r="F441" s="24" t="n">
        <x:v>73.81</x:v>
      </x:c>
      <x:c r="G441" s="24" t="n">
        <x:v>3.14</x:v>
      </x:c>
      <x:c r="H441" s="24" t="n">
        <x:v>74.97</x:v>
      </x:c>
      <x:c r="I441" s="24" t="n">
        <x:v>58.13</x:v>
      </x:c>
      <x:c r="J441" s="24" t="n">
        <x:v>0</x:v>
      </x:c>
      <x:c r="K441" s="24" t="n">
        <x:v>8.8</x:v>
      </x:c>
      <x:c r="L441" s="24" t="n">
        <x:v>0.23</x:v>
      </x:c>
      <x:c r="M441" s="24" t="n">
        <x:f>0.35*(100-D441)+0.10*(100-E441)+0.20*(100-I441)+0.15*J441+0.10*G441+0.10*K441+L441</x:f>
        <x:v>20.5525</x:v>
      </x:c>
      <x:c r="N441" t="str">
        <x:f>IF(M441&lt;27,"Low",IF(M441&lt;50,"Medium","High"))</x:f>
        <x:v>Low</x:v>
      </x:c>
    </x:row>
    <x:row r="442">
      <x:c r="A442" t="str">
        <x:v>ML439</x:v>
      </x:c>
      <x:c r="B442" s="26" t="n">
        <x:v>9</x:v>
      </x:c>
      <x:c r="C442" s="26" t="n">
        <x:v>7</x:v>
      </x:c>
      <x:c r="D442" s="24" t="n">
        <x:v>21.19</x:v>
      </x:c>
      <x:c r="E442" s="24" t="n">
        <x:v>23.69</x:v>
      </x:c>
      <x:c r="F442" s="24" t="n">
        <x:v>12.28</x:v>
      </x:c>
      <x:c r="G442" s="24" t="n">
        <x:v>10.18</x:v>
      </x:c>
      <x:c r="H442" s="24" t="n">
        <x:v>26.24</x:v>
      </x:c>
      <x:c r="I442" s="24" t="n">
        <x:v>0.1</x:v>
      </x:c>
      <x:c r="J442" s="24" t="n">
        <x:v>100</x:v>
      </x:c>
      <x:c r="K442" s="24" t="n">
        <x:v>17.2</x:v>
      </x:c>
      <x:c r="L442" s="24" t="n">
        <x:v>0.18</x:v>
      </x:c>
      <x:c r="M442" s="24" t="n">
        <x:f>0.35*(100-D442)+0.10*(100-E442)+0.20*(100-I442)+0.15*J442+0.10*G442+0.10*K442+L442</x:f>
        <x:v>73.11250000000001</x:v>
      </x:c>
      <x:c r="N442" t="str">
        <x:f>IF(M442&lt;27,"Low",IF(M442&lt;50,"Medium","High"))</x:f>
        <x:v>High</x:v>
      </x:c>
    </x:row>
    <x:row r="443">
      <x:c r="A443" t="str">
        <x:v>ML440</x:v>
      </x:c>
      <x:c r="B443" s="26" t="n">
        <x:v>9</x:v>
      </x:c>
      <x:c r="C443" s="26" t="n">
        <x:v>5</x:v>
      </x:c>
      <x:c r="D443" s="24" t="n">
        <x:v>59.64</x:v>
      </x:c>
      <x:c r="E443" s="24" t="n">
        <x:v>59.18</x:v>
      </x:c>
      <x:c r="F443" s="24" t="n">
        <x:v>52.82</x:v>
      </x:c>
      <x:c r="G443" s="24" t="n">
        <x:v>4.15</x:v>
      </x:c>
      <x:c r="H443" s="24" t="n">
        <x:v>50.73</x:v>
      </x:c>
      <x:c r="I443" s="24" t="n">
        <x:v>32.97</x:v>
      </x:c>
      <x:c r="J443" s="24" t="n">
        <x:v>40</x:v>
      </x:c>
      <x:c r="K443" s="24" t="n">
        <x:v>11.63</x:v>
      </x:c>
      <x:c r="L443" s="24" t="n">
        <x:v>-0.94</x:v>
      </x:c>
      <x:c r="M443" s="24" t="n">
        <x:f>0.35*(100-D443)+0.10*(100-E443)+0.20*(100-I443)+0.15*J443+0.10*G443+0.10*K443+L443</x:f>
        <x:v>38.251999999999995</x:v>
      </x:c>
      <x:c r="N443" t="str">
        <x:f>IF(M443&lt;27,"Low",IF(M443&lt;50,"Medium","High"))</x:f>
        <x:v>Medium</x:v>
      </x:c>
    </x:row>
    <x:row r="444">
      <x:c r="A444" t="str">
        <x:v>ML441</x:v>
      </x:c>
      <x:c r="B444" s="26" t="n">
        <x:v>7</x:v>
      </x:c>
      <x:c r="C444" s="26" t="n">
        <x:v>7</x:v>
      </x:c>
      <x:c r="D444" s="24" t="n">
        <x:v>31.34</x:v>
      </x:c>
      <x:c r="E444" s="24" t="n">
        <x:v>29.33</x:v>
      </x:c>
      <x:c r="F444" s="24" t="n">
        <x:v>18.51</x:v>
      </x:c>
      <x:c r="G444" s="24" t="n">
        <x:v>10.08</x:v>
      </x:c>
      <x:c r="H444" s="24" t="n">
        <x:v>35.29</x:v>
      </x:c>
      <x:c r="I444" s="24" t="n">
        <x:v>20.83</x:v>
      </x:c>
      <x:c r="J444" s="24" t="n">
        <x:v>100</x:v>
      </x:c>
      <x:c r="K444" s="24" t="n">
        <x:v>8.43</x:v>
      </x:c>
      <x:c r="L444" s="24" t="n">
        <x:v>-3.04</x:v>
      </x:c>
      <x:c r="M444" s="24" t="n">
        <x:f>0.35*(100-D444)+0.10*(100-E444)+0.20*(100-I444)+0.15*J444+0.10*G444+0.10*K444+L444</x:f>
        <x:v>60.743</x:v>
      </x:c>
      <x:c r="N444" t="str">
        <x:f>IF(M444&lt;27,"Low",IF(M444&lt;50,"Medium","High"))</x:f>
        <x:v>High</x:v>
      </x:c>
    </x:row>
    <x:row r="445">
      <x:c r="A445" t="str">
        <x:v>ML442</x:v>
      </x:c>
      <x:c r="B445" s="26" t="n">
        <x:v>5</x:v>
      </x:c>
      <x:c r="C445" s="26" t="n">
        <x:v>5</x:v>
      </x:c>
      <x:c r="D445" s="24" t="n">
        <x:v>84.56</x:v>
      </x:c>
      <x:c r="E445" s="24" t="n">
        <x:v>79.12</x:v>
      </x:c>
      <x:c r="F445" s="24" t="n">
        <x:v>56.18</x:v>
      </x:c>
      <x:c r="G445" s="24" t="n">
        <x:v>16.44</x:v>
      </x:c>
      <x:c r="H445" s="24" t="n">
        <x:v>66.29</x:v>
      </x:c>
      <x:c r="I445" s="24" t="n">
        <x:v>41.9</x:v>
      </x:c>
      <x:c r="J445" s="24" t="n">
        <x:v>20</x:v>
      </x:c>
      <x:c r="K445" s="24" t="n">
        <x:v>16.37</x:v>
      </x:c>
      <x:c r="L445" s="24" t="n">
        <x:v>0.3</x:v>
      </x:c>
      <x:c r="M445" s="24" t="n">
        <x:f>0.35*(100-D445)+0.10*(100-E445)+0.20*(100-I445)+0.15*J445+0.10*G445+0.10*K445+L445</x:f>
        <x:v>25.693</x:v>
      </x:c>
      <x:c r="N445" t="str">
        <x:f>IF(M445&lt;27,"Low",IF(M445&lt;50,"Medium","High"))</x:f>
        <x:v>Low</x:v>
      </x:c>
    </x:row>
    <x:row r="446">
      <x:c r="A446" t="str">
        <x:v>ML443</x:v>
      </x:c>
      <x:c r="B446" s="26" t="n">
        <x:v>9</x:v>
      </x:c>
      <x:c r="C446" s="26" t="n">
        <x:v>5</x:v>
      </x:c>
      <x:c r="D446" s="24" t="n">
        <x:v>38.43</x:v>
      </x:c>
      <x:c r="E446" s="24" t="n">
        <x:v>36.95</x:v>
      </x:c>
      <x:c r="F446" s="24" t="n">
        <x:v>23.99</x:v>
      </x:c>
      <x:c r="G446" s="24" t="n">
        <x:v>9.12</x:v>
      </x:c>
      <x:c r="H446" s="24" t="n">
        <x:v>45.05</x:v>
      </x:c>
      <x:c r="I446" s="24" t="n">
        <x:v>26.81</x:v>
      </x:c>
      <x:c r="J446" s="24" t="n">
        <x:v>40</x:v>
      </x:c>
      <x:c r="K446" s="24" t="n">
        <x:v>11.36</x:v>
      </x:c>
      <x:c r="L446" s="24" t="n">
        <x:v>0.3</x:v>
      </x:c>
      <x:c r="M446" s="24" t="n">
        <x:f>0.35*(100-D446)+0.10*(100-E446)+0.20*(100-I446)+0.15*J446+0.10*G446+0.10*K446+L446</x:f>
        <x:v>50.8405</x:v>
      </x:c>
      <x:c r="N446" t="str">
        <x:f>IF(M446&lt;27,"Low",IF(M446&lt;50,"Medium","High"))</x:f>
        <x:v>High</x:v>
      </x:c>
    </x:row>
    <x:row r="447">
      <x:c r="A447" t="str">
        <x:v>ML444</x:v>
      </x:c>
      <x:c r="B447" s="26" t="n">
        <x:v>7</x:v>
      </x:c>
      <x:c r="C447" s="26" t="n">
        <x:v>10</x:v>
      </x:c>
      <x:c r="D447" s="24" t="n">
        <x:v>76.84</x:v>
      </x:c>
      <x:c r="E447" s="24" t="n">
        <x:v>80.2</x:v>
      </x:c>
      <x:c r="F447" s="24" t="n">
        <x:v>72.01</x:v>
      </x:c>
      <x:c r="G447" s="24" t="n">
        <x:v>6.57</x:v>
      </x:c>
      <x:c r="H447" s="24" t="n">
        <x:v>79.74</x:v>
      </x:c>
      <x:c r="I447" s="24" t="n">
        <x:v>64.44</x:v>
      </x:c>
      <x:c r="J447" s="24" t="n">
        <x:v>0</x:v>
      </x:c>
      <x:c r="K447" s="24" t="n">
        <x:v>7.67</x:v>
      </x:c>
      <x:c r="L447" s="24" t="n">
        <x:v>-2.67</x:v>
      </x:c>
      <x:c r="M447" s="24" t="n">
        <x:f>0.35*(100-D447)+0.10*(100-E447)+0.20*(100-I447)+0.15*J447+0.10*G447+0.10*K447+L447</x:f>
        <x:v>15.952</x:v>
      </x:c>
      <x:c r="N447" t="str">
        <x:f>IF(M447&lt;27,"Low",IF(M447&lt;50,"Medium","High"))</x:f>
        <x:v>Low</x:v>
      </x:c>
    </x:row>
    <x:row r="448">
      <x:c r="A448" t="str">
        <x:v>ML445</x:v>
      </x:c>
      <x:c r="B448" s="26" t="n">
        <x:v>8</x:v>
      </x:c>
      <x:c r="C448" s="26" t="n">
        <x:v>4</x:v>
      </x:c>
      <x:c r="D448" s="24" t="n">
        <x:v>91.91</x:v>
      </x:c>
      <x:c r="E448" s="24" t="n">
        <x:v>93</x:v>
      </x:c>
      <x:c r="F448" s="24" t="n">
        <x:v>80.43</x:v>
      </x:c>
      <x:c r="G448" s="24" t="n">
        <x:v>6.63</x:v>
      </x:c>
      <x:c r="H448" s="24" t="n">
        <x:v>91.65</x:v>
      </x:c>
      <x:c r="I448" s="24" t="n">
        <x:v>83.38</x:v>
      </x:c>
      <x:c r="J448" s="24" t="n">
        <x:v>0</x:v>
      </x:c>
      <x:c r="K448" s="24" t="n">
        <x:v>5.41</x:v>
      </x:c>
      <x:c r="L448" s="24" t="n">
        <x:v>4.57</x:v>
      </x:c>
      <x:c r="M448" s="24" t="n">
        <x:f>0.35*(100-D448)+0.10*(100-E448)+0.20*(100-I448)+0.15*J448+0.10*G448+0.10*K448+L448</x:f>
        <x:v>12.629500000000004</x:v>
      </x:c>
      <x:c r="N448" t="str">
        <x:f>IF(M448&lt;27,"Low",IF(M448&lt;50,"Medium","High"))</x:f>
        <x:v>Low</x:v>
      </x:c>
    </x:row>
    <x:row r="449">
      <x:c r="A449" t="str">
        <x:v>ML446</x:v>
      </x:c>
      <x:c r="B449" s="26" t="n">
        <x:v>6</x:v>
      </x:c>
      <x:c r="C449" s="26" t="n">
        <x:v>8</x:v>
      </x:c>
      <x:c r="D449" s="24" t="n">
        <x:v>41.94</x:v>
      </x:c>
      <x:c r="E449" s="24" t="n">
        <x:v>43.23</x:v>
      </x:c>
      <x:c r="F449" s="24" t="n">
        <x:v>26.08</x:v>
      </x:c>
      <x:c r="G449" s="24" t="n">
        <x:v>9.02</x:v>
      </x:c>
      <x:c r="H449" s="24" t="n">
        <x:v>32.39</x:v>
      </x:c>
      <x:c r="I449" s="24" t="n">
        <x:v>8.44</x:v>
      </x:c>
      <x:c r="J449" s="24" t="n">
        <x:v>87.5</x:v>
      </x:c>
      <x:c r="K449" s="24" t="n">
        <x:v>14.71</x:v>
      </x:c>
      <x:c r="L449" s="24" t="n">
        <x:v>-2.38</x:v>
      </x:c>
      <x:c r="M449" s="24" t="n">
        <x:f>0.35*(100-D449)+0.10*(100-E449)+0.20*(100-I449)+0.15*J449+0.10*G449+0.10*K449+L449</x:f>
        <x:v>57.428000000000004</x:v>
      </x:c>
      <x:c r="N449" t="str">
        <x:f>IF(M449&lt;27,"Low",IF(M449&lt;50,"Medium","High"))</x:f>
        <x:v>High</x:v>
      </x:c>
    </x:row>
    <x:row r="450">
      <x:c r="A450" t="str">
        <x:v>ML447</x:v>
      </x:c>
      <x:c r="B450" s="26" t="n">
        <x:v>5</x:v>
      </x:c>
      <x:c r="C450" s="26" t="n">
        <x:v>8</x:v>
      </x:c>
      <x:c r="D450" s="24" t="n">
        <x:v>48.56</x:v>
      </x:c>
      <x:c r="E450" s="24" t="n">
        <x:v>48.32</x:v>
      </x:c>
      <x:c r="F450" s="24" t="n">
        <x:v>37.43</x:v>
      </x:c>
      <x:c r="G450" s="24" t="n">
        <x:v>8.63</x:v>
      </x:c>
      <x:c r="H450" s="24" t="n">
        <x:v>37.7</x:v>
      </x:c>
      <x:c r="I450" s="24" t="n">
        <x:v>16.32</x:v>
      </x:c>
      <x:c r="J450" s="24" t="n">
        <x:v>100</x:v>
      </x:c>
      <x:c r="K450" s="24" t="n">
        <x:v>9.16</x:v>
      </x:c>
      <x:c r="L450" s="24" t="n">
        <x:v>-10.01</x:v>
      </x:c>
      <x:c r="M450" s="24" t="n">
        <x:f>0.35*(100-D450)+0.10*(100-E450)+0.20*(100-I450)+0.15*J450+0.10*G450+0.10*K450+L450</x:f>
        <x:v>46.677</x:v>
      </x:c>
      <x:c r="N450" t="str">
        <x:f>IF(M450&lt;27,"Low",IF(M450&lt;50,"Medium","High"))</x:f>
        <x:v>Medium</x:v>
      </x:c>
    </x:row>
    <x:row r="451">
      <x:c r="A451" t="str">
        <x:v>ML448</x:v>
      </x:c>
      <x:c r="B451" s="26" t="n">
        <x:v>7</x:v>
      </x:c>
      <x:c r="C451" s="26" t="n">
        <x:v>10</x:v>
      </x:c>
      <x:c r="D451" s="24" t="n">
        <x:v>59.43</x:v>
      </x:c>
      <x:c r="E451" s="24" t="n">
        <x:v>59.11</x:v>
      </x:c>
      <x:c r="F451" s="24" t="n">
        <x:v>51.87</x:v>
      </x:c>
      <x:c r="G451" s="24" t="n">
        <x:v>4.65</x:v>
      </x:c>
      <x:c r="H451" s="24" t="n">
        <x:v>59.6</x:v>
      </x:c>
      <x:c r="I451" s="24" t="n">
        <x:v>35.65</x:v>
      </x:c>
      <x:c r="J451" s="24" t="n">
        <x:v>30</x:v>
      </x:c>
      <x:c r="K451" s="24" t="n">
        <x:v>15.87</x:v>
      </x:c>
      <x:c r="L451" s="24" t="n">
        <x:v>2.93</x:v>
      </x:c>
      <x:c r="M451" s="24" t="n">
        <x:f>0.35*(100-D451)+0.10*(100-E451)+0.20*(100-I451)+0.15*J451+0.10*G451+0.10*K451+L451</x:f>
        <x:v>40.6405</x:v>
      </x:c>
      <x:c r="N451" t="str">
        <x:f>IF(M451&lt;27,"Low",IF(M451&lt;50,"Medium","High"))</x:f>
        <x:v>Medium</x:v>
      </x:c>
    </x:row>
    <x:row r="452">
      <x:c r="A452" t="str">
        <x:v>ML449</x:v>
      </x:c>
      <x:c r="B452" s="26" t="n">
        <x:v>7</x:v>
      </x:c>
      <x:c r="C452" s="26" t="n">
        <x:v>5</x:v>
      </x:c>
      <x:c r="D452" s="24" t="n">
        <x:v>81.72</x:v>
      </x:c>
      <x:c r="E452" s="24" t="n">
        <x:v>77.88</x:v>
      </x:c>
      <x:c r="F452" s="24" t="n">
        <x:v>68.23</x:v>
      </x:c>
      <x:c r="G452" s="24" t="n">
        <x:v>4.85</x:v>
      </x:c>
      <x:c r="H452" s="24" t="n">
        <x:v>77.36</x:v>
      </x:c>
      <x:c r="I452" s="24" t="n">
        <x:v>60.82</x:v>
      </x:c>
      <x:c r="J452" s="24" t="n">
        <x:v>0</x:v>
      </x:c>
      <x:c r="K452" s="24" t="n">
        <x:v>10.94</x:v>
      </x:c>
      <x:c r="L452" s="24" t="n">
        <x:v>-7.16</x:v>
      </x:c>
      <x:c r="M452" s="24" t="n">
        <x:f>0.35*(100-D452)+0.10*(100-E452)+0.20*(100-I452)+0.15*J452+0.10*G452+0.10*K452+L452</x:f>
        <x:v>10.864999999999998</x:v>
      </x:c>
      <x:c r="N452" t="str">
        <x:f>IF(M452&lt;27,"Low",IF(M452&lt;50,"Medium","High"))</x:f>
        <x:v>Low</x:v>
      </x:c>
    </x:row>
    <x:row r="453">
      <x:c r="A453" t="str">
        <x:v>ML450</x:v>
      </x:c>
      <x:c r="B453" s="26" t="n">
        <x:v>6</x:v>
      </x:c>
      <x:c r="C453" s="26" t="n">
        <x:v>4</x:v>
      </x:c>
      <x:c r="D453" s="24" t="n">
        <x:v>60.05</x:v>
      </x:c>
      <x:c r="E453" s="24" t="n">
        <x:v>60.04</x:v>
      </x:c>
      <x:c r="F453" s="24" t="n">
        <x:v>48.71</x:v>
      </x:c>
      <x:c r="G453" s="24" t="n">
        <x:v>6.76</x:v>
      </x:c>
      <x:c r="H453" s="24" t="n">
        <x:v>42.34</x:v>
      </x:c>
      <x:c r="I453" s="24" t="n">
        <x:v>16.24</x:v>
      </x:c>
      <x:c r="J453" s="24" t="n">
        <x:v>75</x:v>
      </x:c>
      <x:c r="K453" s="24" t="n">
        <x:v>19.77</x:v>
      </x:c>
      <x:c r="L453" s="24" t="n">
        <x:v>7.78</x:v>
      </x:c>
      <x:c r="M453" s="24" t="n">
        <x:f>0.35*(100-D453)+0.10*(100-E453)+0.20*(100-I453)+0.15*J453+0.10*G453+0.10*K453+L453</x:f>
        <x:v>56.413500000000006</x:v>
      </x:c>
      <x:c r="N453" t="str">
        <x:f>IF(M453&lt;27,"Low",IF(M453&lt;50,"Medium","High"))</x:f>
        <x:v>High</x:v>
      </x:c>
    </x:row>
    <x:row r="454">
      <x:c r="A454" t="str">
        <x:v>ML451</x:v>
      </x:c>
      <x:c r="B454" s="26" t="n">
        <x:v>7</x:v>
      </x:c>
      <x:c r="C454" s="26" t="n">
        <x:v>5</x:v>
      </x:c>
      <x:c r="D454" s="24" t="n">
        <x:v>83.21</x:v>
      </x:c>
      <x:c r="E454" s="24" t="n">
        <x:v>82.9</x:v>
      </x:c>
      <x:c r="F454" s="24" t="n">
        <x:v>68.32</x:v>
      </x:c>
      <x:c r="G454" s="24" t="n">
        <x:v>7.63</x:v>
      </x:c>
      <x:c r="H454" s="24" t="n">
        <x:v>81.61</x:v>
      </x:c>
      <x:c r="I454" s="24" t="n">
        <x:v>63.46</x:v>
      </x:c>
      <x:c r="J454" s="24" t="n">
        <x:v>0</x:v>
      </x:c>
      <x:c r="K454" s="24" t="n">
        <x:v>9.26</x:v>
      </x:c>
      <x:c r="L454" s="24" t="n">
        <x:v>-2.09</x:v>
      </x:c>
      <x:c r="M454" s="24" t="n">
        <x:f>0.35*(100-D454)+0.10*(100-E454)+0.20*(100-I454)+0.15*J454+0.10*G454+0.10*K454+L454</x:f>
        <x:v>14.493500000000001</x:v>
      </x:c>
      <x:c r="N454" t="str">
        <x:f>IF(M454&lt;27,"Low",IF(M454&lt;50,"Medium","High"))</x:f>
        <x:v>Low</x:v>
      </x:c>
    </x:row>
    <x:row r="455">
      <x:c r="A455" t="str">
        <x:v>ML452</x:v>
      </x:c>
      <x:c r="B455" s="26" t="n">
        <x:v>5</x:v>
      </x:c>
      <x:c r="C455" s="26" t="n">
        <x:v>9</x:v>
      </x:c>
      <x:c r="D455" s="24" t="n">
        <x:v>52.23</x:v>
      </x:c>
      <x:c r="E455" s="24" t="n">
        <x:v>52.42</x:v>
      </x:c>
      <x:c r="F455" s="24" t="n">
        <x:v>46.7</x:v>
      </x:c>
      <x:c r="G455" s="24" t="n">
        <x:v>4.19</x:v>
      </x:c>
      <x:c r="H455" s="24" t="n">
        <x:v>42.74</x:v>
      </x:c>
      <x:c r="I455" s="24" t="n">
        <x:v>28.92</x:v>
      </x:c>
      <x:c r="J455" s="24" t="n">
        <x:v>55.56</x:v>
      </x:c>
      <x:c r="K455" s="24" t="n">
        <x:v>10.2</x:v>
      </x:c>
      <x:c r="L455" s="24" t="n">
        <x:v>-6.48</x:v>
      </x:c>
      <x:c r="M455" s="24" t="n">
        <x:f>0.35*(100-D455)+0.10*(100-E455)+0.20*(100-I455)+0.15*J455+0.10*G455+0.10*K455+L455</x:f>
        <x:v>38.98650000000001</x:v>
      </x:c>
      <x:c r="N455" t="str">
        <x:f>IF(M455&lt;27,"Low",IF(M455&lt;50,"Medium","High"))</x:f>
        <x:v>Medium</x:v>
      </x:c>
    </x:row>
    <x:row r="456">
      <x:c r="A456" t="str">
        <x:v>ML453</x:v>
      </x:c>
      <x:c r="B456" s="26" t="n">
        <x:v>5</x:v>
      </x:c>
      <x:c r="C456" s="26" t="n">
        <x:v>6</x:v>
      </x:c>
      <x:c r="D456" s="24" t="n">
        <x:v>53.15</x:v>
      </x:c>
      <x:c r="E456" s="24" t="n">
        <x:v>59.83</x:v>
      </x:c>
      <x:c r="F456" s="24" t="n">
        <x:v>49.13</x:v>
      </x:c>
      <x:c r="G456" s="24" t="n">
        <x:v>12.29</x:v>
      </x:c>
      <x:c r="H456" s="24" t="n">
        <x:v>62.96</x:v>
      </x:c>
      <x:c r="I456" s="24" t="n">
        <x:v>43.53</x:v>
      </x:c>
      <x:c r="J456" s="24" t="n">
        <x:v>16.67</x:v>
      </x:c>
      <x:c r="K456" s="24" t="n">
        <x:v>11.19</x:v>
      </x:c>
      <x:c r="L456" s="24" t="n">
        <x:v>0.94</x:v>
      </x:c>
      <x:c r="M456" s="24" t="n">
        <x:f>0.35*(100-D456)+0.10*(100-E456)+0.20*(100-I456)+0.15*J456+0.10*G456+0.10*K456+L456</x:f>
        <x:v>37.497</x:v>
      </x:c>
      <x:c r="N456" t="str">
        <x:f>IF(M456&lt;27,"Low",IF(M456&lt;50,"Medium","High"))</x:f>
        <x:v>Medium</x:v>
      </x:c>
    </x:row>
    <x:row r="457">
      <x:c r="A457" t="str">
        <x:v>ML454</x:v>
      </x:c>
      <x:c r="B457" s="26" t="n">
        <x:v>9</x:v>
      </x:c>
      <x:c r="C457" s="26" t="n">
        <x:v>5</x:v>
      </x:c>
      <x:c r="D457" s="24" t="n">
        <x:v>88.76</x:v>
      </x:c>
      <x:c r="E457" s="24" t="n">
        <x:v>88.98</x:v>
      </x:c>
      <x:c r="F457" s="24" t="n">
        <x:v>82.66</x:v>
      </x:c>
      <x:c r="G457" s="24" t="n">
        <x:v>5.21</x:v>
      </x:c>
      <x:c r="H457" s="24" t="n">
        <x:v>77.38</x:v>
      </x:c>
      <x:c r="I457" s="24" t="n">
        <x:v>48.72</x:v>
      </x:c>
      <x:c r="J457" s="24" t="n">
        <x:v>20</x:v>
      </x:c>
      <x:c r="K457" s="24" t="n">
        <x:v>19.32</x:v>
      </x:c>
      <x:c r="L457" s="24" t="n">
        <x:v>-0.61</x:v>
      </x:c>
      <x:c r="M457" s="24" t="n">
        <x:f>0.35*(100-D457)+0.10*(100-E457)+0.20*(100-I457)+0.15*J457+0.10*G457+0.10*K457+L457</x:f>
        <x:v>20.134999999999998</x:v>
      </x:c>
      <x:c r="N457" t="str">
        <x:f>IF(M457&lt;27,"Low",IF(M457&lt;50,"Medium","High"))</x:f>
        <x:v>Low</x:v>
      </x:c>
    </x:row>
    <x:row r="458">
      <x:c r="A458" t="str">
        <x:v>ML455</x:v>
      </x:c>
      <x:c r="B458" s="26" t="n">
        <x:v>9</x:v>
      </x:c>
      <x:c r="C458" s="26" t="n">
        <x:v>6</x:v>
      </x:c>
      <x:c r="D458" s="24" t="n">
        <x:v>83.89</x:v>
      </x:c>
      <x:c r="E458" s="24" t="n">
        <x:v>82.07</x:v>
      </x:c>
      <x:c r="F458" s="24" t="n">
        <x:v>76.38</x:v>
      </x:c>
      <x:c r="G458" s="24" t="n">
        <x:v>6.39</x:v>
      </x:c>
      <x:c r="H458" s="24" t="n">
        <x:v>84.32</x:v>
      </x:c>
      <x:c r="I458" s="24" t="n">
        <x:v>74.5</x:v>
      </x:c>
      <x:c r="J458" s="24" t="n">
        <x:v>0</x:v>
      </x:c>
      <x:c r="K458" s="24" t="n">
        <x:v>6.93</x:v>
      </x:c>
      <x:c r="L458" s="24" t="n">
        <x:v>1.69</x:v>
      </x:c>
      <x:c r="M458" s="24" t="n">
        <x:f>0.35*(100-D458)+0.10*(100-E458)+0.20*(100-I458)+0.15*J458+0.10*G458+0.10*K458+L458</x:f>
        <x:v>15.5535</x:v>
      </x:c>
      <x:c r="N458" t="str">
        <x:f>IF(M458&lt;27,"Low",IF(M458&lt;50,"Medium","High"))</x:f>
        <x:v>Low</x:v>
      </x:c>
    </x:row>
    <x:row r="459">
      <x:c r="A459" t="str">
        <x:v>ML456</x:v>
      </x:c>
      <x:c r="B459" s="26" t="n">
        <x:v>5</x:v>
      </x:c>
      <x:c r="C459" s="26" t="n">
        <x:v>9</x:v>
      </x:c>
      <x:c r="D459" s="24" t="n">
        <x:v>73.67</x:v>
      </x:c>
      <x:c r="E459" s="24" t="n">
        <x:v>72.73</x:v>
      </x:c>
      <x:c r="F459" s="24" t="n">
        <x:v>65.05</x:v>
      </x:c>
      <x:c r="G459" s="24" t="n">
        <x:v>6.38</x:v>
      </x:c>
      <x:c r="H459" s="24" t="n">
        <x:v>59.89</x:v>
      </x:c>
      <x:c r="I459" s="24" t="n">
        <x:v>40.82</x:v>
      </x:c>
      <x:c r="J459" s="24" t="n">
        <x:v>22.22</x:v>
      </x:c>
      <x:c r="K459" s="24" t="n">
        <x:v>11.86</x:v>
      </x:c>
      <x:c r="L459" s="24" t="n">
        <x:v>-8.28</x:v>
      </x:c>
      <x:c r="M459" s="24" t="n">
        <x:f>0.35*(100-D459)+0.10*(100-E459)+0.20*(100-I459)+0.15*J459+0.10*G459+0.10*K459+L459</x:f>
        <x:v>20.655500000000004</x:v>
      </x:c>
      <x:c r="N459" t="str">
        <x:f>IF(M459&lt;27,"Low",IF(M459&lt;50,"Medium","High"))</x:f>
        <x:v>Low</x:v>
      </x:c>
    </x:row>
    <x:row r="460">
      <x:c r="A460" t="str">
        <x:v>ML457</x:v>
      </x:c>
      <x:c r="B460" s="26" t="n">
        <x:v>8</x:v>
      </x:c>
      <x:c r="C460" s="26" t="n">
        <x:v>8</x:v>
      </x:c>
      <x:c r="D460" s="24" t="n">
        <x:v>47.57</x:v>
      </x:c>
      <x:c r="E460" s="24" t="n">
        <x:v>46.56</x:v>
      </x:c>
      <x:c r="F460" s="24" t="n">
        <x:v>37.89</x:v>
      </x:c>
      <x:c r="G460" s="24" t="n">
        <x:v>7.87</x:v>
      </x:c>
      <x:c r="H460" s="24" t="n">
        <x:v>42.79</x:v>
      </x:c>
      <x:c r="I460" s="24" t="n">
        <x:v>26.63</x:v>
      </x:c>
      <x:c r="J460" s="24" t="n">
        <x:v>87.5</x:v>
      </x:c>
      <x:c r="K460" s="24" t="n">
        <x:v>7.26</x:v>
      </x:c>
      <x:c r="L460" s="24" t="n">
        <x:v>0.1</x:v>
      </x:c>
      <x:c r="M460" s="24" t="n">
        <x:f>0.35*(100-D460)+0.10*(100-E460)+0.20*(100-I460)+0.15*J460+0.10*G460+0.10*K460+L460</x:f>
        <x:v>53.106500000000004</x:v>
      </x:c>
      <x:c r="N460" t="str">
        <x:f>IF(M460&lt;27,"Low",IF(M460&lt;50,"Medium","High"))</x:f>
        <x:v>High</x:v>
      </x:c>
    </x:row>
    <x:row r="461">
      <x:c r="A461" t="str">
        <x:v>ML458</x:v>
      </x:c>
      <x:c r="B461" s="26" t="n">
        <x:v>5</x:v>
      </x:c>
      <x:c r="C461" s="26" t="n">
        <x:v>4</x:v>
      </x:c>
      <x:c r="D461" s="24" t="n">
        <x:v>71.36</x:v>
      </x:c>
      <x:c r="E461" s="24" t="n">
        <x:v>70.72</x:v>
      </x:c>
      <x:c r="F461" s="24" t="n">
        <x:v>64.61</x:v>
      </x:c>
      <x:c r="G461" s="24" t="n">
        <x:v>3.96</x:v>
      </x:c>
      <x:c r="H461" s="24" t="n">
        <x:v>71.51</x:v>
      </x:c>
      <x:c r="I461" s="24" t="n">
        <x:v>57.23</x:v>
      </x:c>
      <x:c r="J461" s="24" t="n">
        <x:v>0</x:v>
      </x:c>
      <x:c r="K461" s="24" t="n">
        <x:v>10.67</x:v>
      </x:c>
      <x:c r="L461" s="24" t="n">
        <x:v>-1.99</x:v>
      </x:c>
      <x:c r="M461" s="24" t="n">
        <x:f>0.35*(100-D461)+0.10*(100-E461)+0.20*(100-I461)+0.15*J461+0.10*G461+0.10*K461+L461</x:f>
        <x:v>20.979000000000003</x:v>
      </x:c>
      <x:c r="N461" t="str">
        <x:f>IF(M461&lt;27,"Low",IF(M461&lt;50,"Medium","High"))</x:f>
        <x:v>Low</x:v>
      </x:c>
    </x:row>
    <x:row r="462">
      <x:c r="A462" t="str">
        <x:v>ML459</x:v>
      </x:c>
      <x:c r="B462" s="26" t="n">
        <x:v>7</x:v>
      </x:c>
      <x:c r="C462" s="26" t="n">
        <x:v>7</x:v>
      </x:c>
      <x:c r="D462" s="24" t="n">
        <x:v>51.78</x:v>
      </x:c>
      <x:c r="E462" s="24" t="n">
        <x:v>48.75</x:v>
      </x:c>
      <x:c r="F462" s="24" t="n">
        <x:v>35.02</x:v>
      </x:c>
      <x:c r="G462" s="24" t="n">
        <x:v>10.35</x:v>
      </x:c>
      <x:c r="H462" s="24" t="n">
        <x:v>45.33</x:v>
      </x:c>
      <x:c r="I462" s="24" t="n">
        <x:v>24.7</x:v>
      </x:c>
      <x:c r="J462" s="24" t="n">
        <x:v>85.71</x:v>
      </x:c>
      <x:c r="K462" s="24" t="n">
        <x:v>13.43</x:v>
      </x:c>
      <x:c r="L462" s="24" t="n">
        <x:v>5.48</x:v>
      </x:c>
      <x:c r="M462" s="24" t="n">
        <x:f>0.35*(100-D462)+0.10*(100-E462)+0.20*(100-I462)+0.15*J462+0.10*G462+0.10*K462+L462</x:f>
        <x:v>57.7765</x:v>
      </x:c>
      <x:c r="N462" t="str">
        <x:f>IF(M462&lt;27,"Low",IF(M462&lt;50,"Medium","High"))</x:f>
        <x:v>High</x:v>
      </x:c>
    </x:row>
    <x:row r="463">
      <x:c r="A463" t="str">
        <x:v>ML460</x:v>
      </x:c>
      <x:c r="B463" s="26" t="n">
        <x:v>8</x:v>
      </x:c>
      <x:c r="C463" s="26" t="n">
        <x:v>10</x:v>
      </x:c>
      <x:c r="D463" s="24" t="n">
        <x:v>56.91</x:v>
      </x:c>
      <x:c r="E463" s="24" t="n">
        <x:v>55.58</x:v>
      </x:c>
      <x:c r="F463" s="24" t="n">
        <x:v>38.79</x:v>
      </x:c>
      <x:c r="G463" s="24" t="n">
        <x:v>9.71</x:v>
      </x:c>
      <x:c r="H463" s="24" t="n">
        <x:v>62.38</x:v>
      </x:c>
      <x:c r="I463" s="24" t="n">
        <x:v>29.04</x:v>
      </x:c>
      <x:c r="J463" s="24" t="n">
        <x:v>20</x:v>
      </x:c>
      <x:c r="K463" s="24" t="n">
        <x:v>14.3</x:v>
      </x:c>
      <x:c r="L463" s="24" t="n">
        <x:v>-0.61</x:v>
      </x:c>
      <x:c r="M463" s="24" t="n">
        <x:f>0.35*(100-D463)+0.10*(100-E463)+0.20*(100-I463)+0.15*J463+0.10*G463+0.10*K463+L463</x:f>
        <x:v>38.506499999999996</x:v>
      </x:c>
      <x:c r="N463" t="str">
        <x:f>IF(M463&lt;27,"Low",IF(M463&lt;50,"Medium","High"))</x:f>
        <x:v>Medium</x:v>
      </x:c>
    </x:row>
    <x:row r="464">
      <x:c r="A464" t="str">
        <x:v>ML461</x:v>
      </x:c>
      <x:c r="B464" s="26" t="n">
        <x:v>5</x:v>
      </x:c>
      <x:c r="C464" s="26" t="n">
        <x:v>7</x:v>
      </x:c>
      <x:c r="D464" s="24" t="n">
        <x:v>70.61</x:v>
      </x:c>
      <x:c r="E464" s="24" t="n">
        <x:v>69.54</x:v>
      </x:c>
      <x:c r="F464" s="24" t="n">
        <x:v>60.36</x:v>
      </x:c>
      <x:c r="G464" s="24" t="n">
        <x:v>6.36</x:v>
      </x:c>
      <x:c r="H464" s="24" t="n">
        <x:v>68.6</x:v>
      </x:c>
      <x:c r="I464" s="24" t="n">
        <x:v>57.03</x:v>
      </x:c>
      <x:c r="J464" s="24" t="n">
        <x:v>0</x:v>
      </x:c>
      <x:c r="K464" s="24" t="n">
        <x:v>7.11</x:v>
      </x:c>
      <x:c r="L464" s="24" t="n">
        <x:v>-1.34</x:v>
      </x:c>
      <x:c r="M464" s="24" t="n">
        <x:f>0.35*(100-D464)+0.10*(100-E464)+0.20*(100-I464)+0.15*J464+0.10*G464+0.10*K464+L464</x:f>
        <x:v>21.933499999999995</x:v>
      </x:c>
      <x:c r="N464" t="str">
        <x:f>IF(M464&lt;27,"Low",IF(M464&lt;50,"Medium","High"))</x:f>
        <x:v>Low</x:v>
      </x:c>
    </x:row>
    <x:row r="465">
      <x:c r="A465" t="str">
        <x:v>ML462</x:v>
      </x:c>
      <x:c r="B465" s="26" t="n">
        <x:v>4</x:v>
      </x:c>
      <x:c r="C465" s="26" t="n">
        <x:v>5</x:v>
      </x:c>
      <x:c r="D465" s="24" t="n">
        <x:v>85.29</x:v>
      </x:c>
      <x:c r="E465" s="24" t="n">
        <x:v>83.69</x:v>
      </x:c>
      <x:c r="F465" s="24" t="n">
        <x:v>74.7</x:v>
      </x:c>
      <x:c r="G465" s="24" t="n">
        <x:v>9.07</x:v>
      </x:c>
      <x:c r="H465" s="24" t="n">
        <x:v>79.71</x:v>
      </x:c>
      <x:c r="I465" s="24" t="n">
        <x:v>56.9</x:v>
      </x:c>
      <x:c r="J465" s="24" t="n">
        <x:v>0</x:v>
      </x:c>
      <x:c r="K465" s="24" t="n">
        <x:v>13.87</x:v>
      </x:c>
      <x:c r="L465" s="24" t="n">
        <x:v>3.42</x:v>
      </x:c>
      <x:c r="M465" s="24" t="n">
        <x:f>0.35*(100-D465)+0.10*(100-E465)+0.20*(100-I465)+0.15*J465+0.10*G465+0.10*K465+L465</x:f>
        <x:v>21.113500000000002</x:v>
      </x:c>
      <x:c r="N465" t="str">
        <x:f>IF(M465&lt;27,"Low",IF(M465&lt;50,"Medium","High"))</x:f>
        <x:v>Low</x:v>
      </x:c>
    </x:row>
    <x:row r="466">
      <x:c r="A466" t="str">
        <x:v>ML463</x:v>
      </x:c>
      <x:c r="B466" s="26" t="n">
        <x:v>8</x:v>
      </x:c>
      <x:c r="C466" s="26" t="n">
        <x:v>9</x:v>
      </x:c>
      <x:c r="D466" s="24" t="n">
        <x:v>55.95</x:v>
      </x:c>
      <x:c r="E466" s="24" t="n">
        <x:v>53.33</x:v>
      </x:c>
      <x:c r="F466" s="24" t="n">
        <x:v>42.16</x:v>
      </x:c>
      <x:c r="G466" s="24" t="n">
        <x:v>8.02</x:v>
      </x:c>
      <x:c r="H466" s="24" t="n">
        <x:v>50.1</x:v>
      </x:c>
      <x:c r="I466" s="24" t="n">
        <x:v>36.95</x:v>
      </x:c>
      <x:c r="J466" s="24" t="n">
        <x:v>66.67</x:v>
      </x:c>
      <x:c r="K466" s="24" t="n">
        <x:v>13.07</x:v>
      </x:c>
      <x:c r="L466" s="24" t="n">
        <x:v>2.38</x:v>
      </x:c>
      <x:c r="M466" s="24" t="n">
        <x:f>0.35*(100-D466)+0.10*(100-E466)+0.20*(100-I466)+0.15*J466+0.10*G466+0.10*K466+L466</x:f>
        <x:v>47.184000000000005</x:v>
      </x:c>
      <x:c r="N466" t="str">
        <x:f>IF(M466&lt;27,"Low",IF(M466&lt;50,"Medium","High"))</x:f>
        <x:v>Medium</x:v>
      </x:c>
    </x:row>
    <x:row r="467">
      <x:c r="A467" t="str">
        <x:v>ML464</x:v>
      </x:c>
      <x:c r="B467" s="26" t="n">
        <x:v>8</x:v>
      </x:c>
      <x:c r="C467" s="26" t="n">
        <x:v>7</x:v>
      </x:c>
      <x:c r="D467" s="24" t="n">
        <x:v>87.85</x:v>
      </x:c>
      <x:c r="E467" s="24" t="n">
        <x:v>86.48</x:v>
      </x:c>
      <x:c r="F467" s="24" t="n">
        <x:v>71.04</x:v>
      </x:c>
      <x:c r="G467" s="24" t="n">
        <x:v>9.01</x:v>
      </x:c>
      <x:c r="H467" s="24" t="n">
        <x:v>74.74</x:v>
      </x:c>
      <x:c r="I467" s="24" t="n">
        <x:v>60.42</x:v>
      </x:c>
      <x:c r="J467" s="24" t="n">
        <x:v>0</x:v>
      </x:c>
      <x:c r="K467" s="24" t="n">
        <x:v>10.1</x:v>
      </x:c>
      <x:c r="L467" s="24" t="n">
        <x:v>-0.06</x:v>
      </x:c>
      <x:c r="M467" s="24" t="n">
        <x:f>0.35*(100-D467)+0.10*(100-E467)+0.20*(100-I467)+0.15*J467+0.10*G467+0.10*K467+L467</x:f>
        <x:v>15.371500000000001</x:v>
      </x:c>
      <x:c r="N467" t="str">
        <x:f>IF(M467&lt;27,"Low",IF(M467&lt;50,"Medium","High"))</x:f>
        <x:v>Low</x:v>
      </x:c>
    </x:row>
    <x:row r="468">
      <x:c r="A468" t="str">
        <x:v>ML465</x:v>
      </x:c>
      <x:c r="B468" s="26" t="n">
        <x:v>9</x:v>
      </x:c>
      <x:c r="C468" s="26" t="n">
        <x:v>9</x:v>
      </x:c>
      <x:c r="D468" s="24" t="n">
        <x:v>60.17</x:v>
      </x:c>
      <x:c r="E468" s="24" t="n">
        <x:v>60.75</x:v>
      </x:c>
      <x:c r="F468" s="24" t="n">
        <x:v>28.71</x:v>
      </x:c>
      <x:c r="G468" s="24" t="n">
        <x:v>12.07</x:v>
      </x:c>
      <x:c r="H468" s="24" t="n">
        <x:v>63.73</x:v>
      </x:c>
      <x:c r="I468" s="24" t="n">
        <x:v>41.15</x:v>
      </x:c>
      <x:c r="J468" s="24" t="n">
        <x:v>11.11</x:v>
      </x:c>
      <x:c r="K468" s="24" t="n">
        <x:v>10.42</x:v>
      </x:c>
      <x:c r="L468" s="24" t="n">
        <x:v>-2.5</x:v>
      </x:c>
      <x:c r="M468" s="24" t="n">
        <x:f>0.35*(100-D468)+0.10*(100-E468)+0.20*(100-I468)+0.15*J468+0.10*G468+0.10*K468+L468</x:f>
        <x:v>31.051000000000002</x:v>
      </x:c>
      <x:c r="N468" t="str">
        <x:f>IF(M468&lt;27,"Low",IF(M468&lt;50,"Medium","High"))</x:f>
        <x:v>Medium</x:v>
      </x:c>
    </x:row>
    <x:row r="469">
      <x:c r="A469" t="str">
        <x:v>ML466</x:v>
      </x:c>
      <x:c r="B469" s="26" t="n">
        <x:v>4</x:v>
      </x:c>
      <x:c r="C469" s="26" t="n">
        <x:v>5</x:v>
      </x:c>
      <x:c r="D469" s="24" t="n">
        <x:v>66.04</x:v>
      </x:c>
      <x:c r="E469" s="24" t="n">
        <x:v>63.74</x:v>
      </x:c>
      <x:c r="F469" s="24" t="n">
        <x:v>57.65</x:v>
      </x:c>
      <x:c r="G469" s="24" t="n">
        <x:v>5.12</x:v>
      </x:c>
      <x:c r="H469" s="24" t="n">
        <x:v>69.93</x:v>
      </x:c>
      <x:c r="I469" s="24" t="n">
        <x:v>65.65</x:v>
      </x:c>
      <x:c r="J469" s="24" t="n">
        <x:v>0</x:v>
      </x:c>
      <x:c r="K469" s="24" t="n">
        <x:v>4.79</x:v>
      </x:c>
      <x:c r="L469" s="24" t="n">
        <x:v>-0.27</x:v>
      </x:c>
      <x:c r="M469" s="24" t="n">
        <x:f>0.35*(100-D469)+0.10*(100-E469)+0.20*(100-I469)+0.15*J469+0.10*G469+0.10*K469+L469</x:f>
        <x:v>23.102999999999998</x:v>
      </x:c>
      <x:c r="N469" t="str">
        <x:f>IF(M469&lt;27,"Low",IF(M469&lt;50,"Medium","High"))</x:f>
        <x:v>Low</x:v>
      </x:c>
    </x:row>
    <x:row r="470">
      <x:c r="A470" t="str">
        <x:v>ML467</x:v>
      </x:c>
      <x:c r="B470" s="26" t="n">
        <x:v>4</x:v>
      </x:c>
      <x:c r="C470" s="26" t="n">
        <x:v>5</x:v>
      </x:c>
      <x:c r="D470" s="24" t="n">
        <x:v>29.7</x:v>
      </x:c>
      <x:c r="E470" s="24" t="n">
        <x:v>35.16</x:v>
      </x:c>
      <x:c r="F470" s="24" t="n">
        <x:v>29.78</x:v>
      </x:c>
      <x:c r="G470" s="24" t="n">
        <x:v>5.92</x:v>
      </x:c>
      <x:c r="H470" s="24" t="n">
        <x:v>28.52</x:v>
      </x:c>
      <x:c r="I470" s="24" t="n">
        <x:v>6.12</x:v>
      </x:c>
      <x:c r="J470" s="24" t="n">
        <x:v>100</x:v>
      </x:c>
      <x:c r="K470" s="24" t="n">
        <x:v>13.91</x:v>
      </x:c>
      <x:c r="L470" s="24" t="n">
        <x:v>3.77</x:v>
      </x:c>
      <x:c r="M470" s="24" t="n">
        <x:f>0.35*(100-D470)+0.10*(100-E470)+0.20*(100-I470)+0.15*J470+0.10*G470+0.10*K470+L470</x:f>
        <x:v>70.618</x:v>
      </x:c>
      <x:c r="N470" t="str">
        <x:f>IF(M470&lt;27,"Low",IF(M470&lt;50,"Medium","High"))</x:f>
        <x:v>High</x:v>
      </x:c>
    </x:row>
    <x:row r="471">
      <x:c r="A471" t="str">
        <x:v>ML468</x:v>
      </x:c>
      <x:c r="B471" s="26" t="n">
        <x:v>8</x:v>
      </x:c>
      <x:c r="C471" s="26" t="n">
        <x:v>10</x:v>
      </x:c>
      <x:c r="D471" s="24" t="n">
        <x:v>50.08</x:v>
      </x:c>
      <x:c r="E471" s="24" t="n">
        <x:v>48.26</x:v>
      </x:c>
      <x:c r="F471" s="24" t="n">
        <x:v>38.94</x:v>
      </x:c>
      <x:c r="G471" s="24" t="n">
        <x:v>8.87</x:v>
      </x:c>
      <x:c r="H471" s="24" t="n">
        <x:v>44.63</x:v>
      </x:c>
      <x:c r="I471" s="24" t="n">
        <x:v>17.87</x:v>
      </x:c>
      <x:c r="J471" s="24" t="n">
        <x:v>60</x:v>
      </x:c>
      <x:c r="K471" s="24" t="n">
        <x:v>13.7</x:v>
      </x:c>
      <x:c r="L471" s="24" t="n">
        <x:v>-4.67</x:v>
      </x:c>
      <x:c r="M471" s="24" t="n">
        <x:f>0.35*(100-D471)+0.10*(100-E471)+0.20*(100-I471)+0.15*J471+0.10*G471+0.10*K471+L471</x:f>
        <x:v>45.65899999999999</x:v>
      </x:c>
      <x:c r="N471" t="str">
        <x:f>IF(M471&lt;27,"Low",IF(M471&lt;50,"Medium","High"))</x:f>
        <x:v>Medium</x:v>
      </x:c>
    </x:row>
    <x:row r="472">
      <x:c r="A472" t="str">
        <x:v>ML469</x:v>
      </x:c>
      <x:c r="B472" s="26" t="n">
        <x:v>4</x:v>
      </x:c>
      <x:c r="C472" s="26" t="n">
        <x:v>10</x:v>
      </x:c>
      <x:c r="D472" s="24" t="n">
        <x:v>57.03</x:v>
      </x:c>
      <x:c r="E472" s="24" t="n">
        <x:v>54.9</x:v>
      </x:c>
      <x:c r="F472" s="24" t="n">
        <x:v>49.76</x:v>
      </x:c>
      <x:c r="G472" s="24" t="n">
        <x:v>3.54</x:v>
      </x:c>
      <x:c r="H472" s="24" t="n">
        <x:v>46.51</x:v>
      </x:c>
      <x:c r="I472" s="24" t="n">
        <x:v>28.1</x:v>
      </x:c>
      <x:c r="J472" s="24" t="n">
        <x:v>60</x:v>
      </x:c>
      <x:c r="K472" s="24" t="n">
        <x:v>8.65</x:v>
      </x:c>
      <x:c r="L472" s="24" t="n">
        <x:v>-1.06</x:v>
      </x:c>
      <x:c r="M472" s="24" t="n">
        <x:f>0.35*(100-D472)+0.10*(100-E472)+0.20*(100-I472)+0.15*J472+0.10*G472+0.10*K472+L472</x:f>
        <x:v>43.0885</x:v>
      </x:c>
      <x:c r="N472" t="str">
        <x:f>IF(M472&lt;27,"Low",IF(M472&lt;50,"Medium","High"))</x:f>
        <x:v>Medium</x:v>
      </x:c>
    </x:row>
    <x:row r="473">
      <x:c r="A473" t="str">
        <x:v>ML470</x:v>
      </x:c>
      <x:c r="B473" s="26" t="n">
        <x:v>7</x:v>
      </x:c>
      <x:c r="C473" s="26" t="n">
        <x:v>10</x:v>
      </x:c>
      <x:c r="D473" s="24" t="n">
        <x:v>48.24</x:v>
      </x:c>
      <x:c r="E473" s="24" t="n">
        <x:v>47.92</x:v>
      </x:c>
      <x:c r="F473" s="24" t="n">
        <x:v>26.52</x:v>
      </x:c>
      <x:c r="G473" s="24" t="n">
        <x:v>9.16</x:v>
      </x:c>
      <x:c r="H473" s="24" t="n">
        <x:v>48.2</x:v>
      </x:c>
      <x:c r="I473" s="24" t="n">
        <x:v>30.97</x:v>
      </x:c>
      <x:c r="J473" s="24" t="n">
        <x:v>50</x:v>
      </x:c>
      <x:c r="K473" s="24" t="n">
        <x:v>9.97</x:v>
      </x:c>
      <x:c r="L473" s="24" t="n">
        <x:v>3.46</x:v>
      </x:c>
      <x:c r="M473" s="24" t="n">
        <x:f>0.35*(100-D473)+0.10*(100-E473)+0.20*(100-I473)+0.15*J473+0.10*G473+0.10*K473+L473</x:f>
        <x:v>50.00299999999999</x:v>
      </x:c>
      <x:c r="N473" t="str">
        <x:f>IF(M473&lt;27,"Low",IF(M473&lt;50,"Medium","High"))</x:f>
        <x:v>High</x:v>
      </x:c>
    </x:row>
    <x:row r="474">
      <x:c r="A474" t="str">
        <x:v>ML471</x:v>
      </x:c>
      <x:c r="B474" s="26" t="n">
        <x:v>8</x:v>
      </x:c>
      <x:c r="C474" s="26" t="n">
        <x:v>4</x:v>
      </x:c>
      <x:c r="D474" s="24" t="n">
        <x:v>68.89</x:v>
      </x:c>
      <x:c r="E474" s="24" t="n">
        <x:v>66.9</x:v>
      </x:c>
      <x:c r="F474" s="24" t="n">
        <x:v>58.82</x:v>
      </x:c>
      <x:c r="G474" s="24" t="n">
        <x:v>8.85</x:v>
      </x:c>
      <x:c r="H474" s="24" t="n">
        <x:v>66.54</x:v>
      </x:c>
      <x:c r="I474" s="24" t="n">
        <x:v>58.62</x:v>
      </x:c>
      <x:c r="J474" s="24" t="n">
        <x:v>0</x:v>
      </x:c>
      <x:c r="K474" s="24" t="n">
        <x:v>5.19</x:v>
      </x:c>
      <x:c r="L474" s="24" t="n">
        <x:v>5.08</x:v>
      </x:c>
      <x:c r="M474" s="24" t="n">
        <x:f>0.35*(100-D474)+0.10*(100-E474)+0.20*(100-I474)+0.15*J474+0.10*G474+0.10*K474+L474</x:f>
        <x:v>28.9585</x:v>
      </x:c>
      <x:c r="N474" t="str">
        <x:f>IF(M474&lt;27,"Low",IF(M474&lt;50,"Medium","High"))</x:f>
        <x:v>Medium</x:v>
      </x:c>
    </x:row>
    <x:row r="475">
      <x:c r="A475" t="str">
        <x:v>ML472</x:v>
      </x:c>
      <x:c r="B475" s="26" t="n">
        <x:v>5</x:v>
      </x:c>
      <x:c r="C475" s="26" t="n">
        <x:v>8</x:v>
      </x:c>
      <x:c r="D475" s="24" t="n">
        <x:v>64.12</x:v>
      </x:c>
      <x:c r="E475" s="24" t="n">
        <x:v>62.86</x:v>
      </x:c>
      <x:c r="F475" s="24" t="n">
        <x:v>55.35</x:v>
      </x:c>
      <x:c r="G475" s="24" t="n">
        <x:v>8.08</x:v>
      </x:c>
      <x:c r="H475" s="24" t="n">
        <x:v>67.61</x:v>
      </x:c>
      <x:c r="I475" s="24" t="n">
        <x:v>51.34</x:v>
      </x:c>
      <x:c r="J475" s="24" t="n">
        <x:v>0</x:v>
      </x:c>
      <x:c r="K475" s="24" t="n">
        <x:v>9.52</x:v>
      </x:c>
      <x:c r="L475" s="24" t="n">
        <x:v>6.39</x:v>
      </x:c>
      <x:c r="M475" s="24" t="n">
        <x:f>0.35*(100-D475)+0.10*(100-E475)+0.20*(100-I475)+0.15*J475+0.10*G475+0.10*K475+L475</x:f>
        <x:v>34.153999999999996</x:v>
      </x:c>
      <x:c r="N475" t="str">
        <x:f>IF(M475&lt;27,"Low",IF(M475&lt;50,"Medium","High"))</x:f>
        <x:v>Medium</x:v>
      </x:c>
    </x:row>
    <x:row r="476">
      <x:c r="A476" t="str">
        <x:v>ML473</x:v>
      </x:c>
      <x:c r="B476" s="26" t="n">
        <x:v>8</x:v>
      </x:c>
      <x:c r="C476" s="26" t="n">
        <x:v>4</x:v>
      </x:c>
      <x:c r="D476" s="24" t="n">
        <x:v>68.94</x:v>
      </x:c>
      <x:c r="E476" s="24" t="n">
        <x:v>66.98</x:v>
      </x:c>
      <x:c r="F476" s="24" t="n">
        <x:v>52.6</x:v>
      </x:c>
      <x:c r="G476" s="24" t="n">
        <x:v>7.92</x:v>
      </x:c>
      <x:c r="H476" s="24" t="n">
        <x:v>55.52</x:v>
      </x:c>
      <x:c r="I476" s="24" t="n">
        <x:v>28.26</x:v>
      </x:c>
      <x:c r="J476" s="24" t="n">
        <x:v>50</x:v>
      </x:c>
      <x:c r="K476" s="24" t="n">
        <x:v>20.26</x:v>
      </x:c>
      <x:c r="L476" s="24" t="n">
        <x:v>4.52</x:v>
      </x:c>
      <x:c r="M476" s="24" t="n">
        <x:f>0.35*(100-D476)+0.10*(100-E476)+0.20*(100-I476)+0.15*J476+0.10*G476+0.10*K476+L476</x:f>
        <x:v>43.35900000000001</x:v>
      </x:c>
      <x:c r="N476" t="str">
        <x:f>IF(M476&lt;27,"Low",IF(M476&lt;50,"Medium","High"))</x:f>
        <x:v>Medium</x:v>
      </x:c>
    </x:row>
    <x:row r="477">
      <x:c r="A477" t="str">
        <x:v>ML474</x:v>
      </x:c>
      <x:c r="B477" s="26" t="n">
        <x:v>5</x:v>
      </x:c>
      <x:c r="C477" s="26" t="n">
        <x:v>10</x:v>
      </x:c>
      <x:c r="D477" s="24" t="n">
        <x:v>75.84</x:v>
      </x:c>
      <x:c r="E477" s="24" t="n">
        <x:v>76.97</x:v>
      </x:c>
      <x:c r="F477" s="24" t="n">
        <x:v>73.22</x:v>
      </x:c>
      <x:c r="G477" s="24" t="n">
        <x:v>2.13</x:v>
      </x:c>
      <x:c r="H477" s="24" t="n">
        <x:v>76.24</x:v>
      </x:c>
      <x:c r="I477" s="24" t="n">
        <x:v>53.58</x:v>
      </x:c>
      <x:c r="J477" s="24" t="n">
        <x:v>0</x:v>
      </x:c>
      <x:c r="K477" s="24" t="n">
        <x:v>12.22</x:v>
      </x:c>
      <x:c r="L477" s="24" t="n">
        <x:v>0.01</x:v>
      </x:c>
      <x:c r="M477" s="24" t="n">
        <x:f>0.35*(100-D477)+0.10*(100-E477)+0.20*(100-I477)+0.15*J477+0.10*G477+0.10*K477+L477</x:f>
        <x:v>21.488000000000003</x:v>
      </x:c>
      <x:c r="N477" t="str">
        <x:f>IF(M477&lt;27,"Low",IF(M477&lt;50,"Medium","High"))</x:f>
        <x:v>Low</x:v>
      </x:c>
    </x:row>
    <x:row r="478">
      <x:c r="A478" t="str">
        <x:v>ML475</x:v>
      </x:c>
      <x:c r="B478" s="26" t="n">
        <x:v>5</x:v>
      </x:c>
      <x:c r="C478" s="26" t="n">
        <x:v>10</x:v>
      </x:c>
      <x:c r="D478" s="24" t="n">
        <x:v>92.85</x:v>
      </x:c>
      <x:c r="E478" s="24" t="n">
        <x:v>93.5</x:v>
      </x:c>
      <x:c r="F478" s="24" t="n">
        <x:v>83.14</x:v>
      </x:c>
      <x:c r="G478" s="24" t="n">
        <x:v>6.41</x:v>
      </x:c>
      <x:c r="H478" s="24" t="n">
        <x:v>87.15</x:v>
      </x:c>
      <x:c r="I478" s="24" t="n">
        <x:v>74.4</x:v>
      </x:c>
      <x:c r="J478" s="24" t="n">
        <x:v>0</x:v>
      </x:c>
      <x:c r="K478" s="24" t="n">
        <x:v>8.62</x:v>
      </x:c>
      <x:c r="L478" s="24" t="n">
        <x:v>-0.9</x:v>
      </x:c>
      <x:c r="M478" s="24" t="n">
        <x:f>0.35*(100-D478)+0.10*(100-E478)+0.20*(100-I478)+0.15*J478+0.10*G478+0.10*K478+L478</x:f>
        <x:v>8.8755</x:v>
      </x:c>
      <x:c r="N478" t="str">
        <x:f>IF(M478&lt;27,"Low",IF(M478&lt;50,"Medium","High"))</x:f>
        <x:v>Low</x:v>
      </x:c>
    </x:row>
    <x:row r="479">
      <x:c r="A479" t="str">
        <x:v>ML476</x:v>
      </x:c>
      <x:c r="B479" s="26" t="n">
        <x:v>8</x:v>
      </x:c>
      <x:c r="C479" s="26" t="n">
        <x:v>9</x:v>
      </x:c>
      <x:c r="D479" s="24" t="n">
        <x:v>75.37</x:v>
      </x:c>
      <x:c r="E479" s="24" t="n">
        <x:v>77.15</x:v>
      </x:c>
      <x:c r="F479" s="24" t="n">
        <x:v>68.54</x:v>
      </x:c>
      <x:c r="G479" s="24" t="n">
        <x:v>5.33</x:v>
      </x:c>
      <x:c r="H479" s="24" t="n">
        <x:v>79.5</x:v>
      </x:c>
      <x:c r="I479" s="24" t="n">
        <x:v>65.2</x:v>
      </x:c>
      <x:c r="J479" s="24" t="n">
        <x:v>0</x:v>
      </x:c>
      <x:c r="K479" s="24" t="n">
        <x:v>8.25</x:v>
      </x:c>
      <x:c r="L479" s="24" t="n">
        <x:v>-7.37</x:v>
      </x:c>
      <x:c r="M479" s="24" t="n">
        <x:f>0.35*(100-D479)+0.10*(100-E479)+0.20*(100-I479)+0.15*J479+0.10*G479+0.10*K479+L479</x:f>
        <x:v>11.853499999999997</x:v>
      </x:c>
      <x:c r="N479" t="str">
        <x:f>IF(M479&lt;27,"Low",IF(M479&lt;50,"Medium","High"))</x:f>
        <x:v>Low</x:v>
      </x:c>
    </x:row>
    <x:row r="480">
      <x:c r="A480" t="str">
        <x:v>ML477</x:v>
      </x:c>
      <x:c r="B480" s="26" t="n">
        <x:v>8</x:v>
      </x:c>
      <x:c r="C480" s="26" t="n">
        <x:v>4</x:v>
      </x:c>
      <x:c r="D480" s="24" t="n">
        <x:v>82.22</x:v>
      </x:c>
      <x:c r="E480" s="24" t="n">
        <x:v>84.13</x:v>
      </x:c>
      <x:c r="F480" s="24" t="n">
        <x:v>76.53</x:v>
      </x:c>
      <x:c r="G480" s="24" t="n">
        <x:v>4.29</x:v>
      </x:c>
      <x:c r="H480" s="24" t="n">
        <x:v>73.72</x:v>
      </x:c>
      <x:c r="I480" s="24" t="n">
        <x:v>42.87</x:v>
      </x:c>
      <x:c r="J480" s="24" t="n">
        <x:v>25</x:v>
      </x:c>
      <x:c r="K480" s="24" t="n">
        <x:v>24.82</x:v>
      </x:c>
      <x:c r="L480" s="24" t="n">
        <x:v>-6.1</x:v>
      </x:c>
      <x:c r="M480" s="24" t="n">
        <x:f>0.35*(100-D480)+0.10*(100-E480)+0.20*(100-I480)+0.15*J480+0.10*G480+0.10*K480+L480</x:f>
        <x:v>19.797000000000004</x:v>
      </x:c>
      <x:c r="N480" t="str">
        <x:f>IF(M480&lt;27,"Low",IF(M480&lt;50,"Medium","High"))</x:f>
        <x:v>Low</x:v>
      </x:c>
    </x:row>
    <x:row r="481">
      <x:c r="A481" t="str">
        <x:v>ML478</x:v>
      </x:c>
      <x:c r="B481" s="26" t="n">
        <x:v>5</x:v>
      </x:c>
      <x:c r="C481" s="26" t="n">
        <x:v>7</x:v>
      </x:c>
      <x:c r="D481" s="24" t="n">
        <x:v>67.32</x:v>
      </x:c>
      <x:c r="E481" s="24" t="n">
        <x:v>66.54</x:v>
      </x:c>
      <x:c r="F481" s="24" t="n">
        <x:v>59.03</x:v>
      </x:c>
      <x:c r="G481" s="24" t="n">
        <x:v>5.96</x:v>
      </x:c>
      <x:c r="H481" s="24" t="n">
        <x:v>55.88</x:v>
      </x:c>
      <x:c r="I481" s="24" t="n">
        <x:v>41.14</x:v>
      </x:c>
      <x:c r="J481" s="24" t="n">
        <x:v>28.57</x:v>
      </x:c>
      <x:c r="K481" s="24" t="n">
        <x:v>8</x:v>
      </x:c>
      <x:c r="L481" s="24" t="n">
        <x:v>-2.08</x:v>
      </x:c>
      <x:c r="M481" s="24" t="n">
        <x:f>0.35*(100-D481)+0.10*(100-E481)+0.20*(100-I481)+0.15*J481+0.10*G481+0.10*K481+L481</x:f>
        <x:v>30.157500000000006</x:v>
      </x:c>
      <x:c r="N481" t="str">
        <x:f>IF(M481&lt;27,"Low",IF(M481&lt;50,"Medium","High"))</x:f>
        <x:v>Medium</x:v>
      </x:c>
    </x:row>
    <x:row r="482">
      <x:c r="A482" t="str">
        <x:v>ML479</x:v>
      </x:c>
      <x:c r="B482" s="26" t="n">
        <x:v>8</x:v>
      </x:c>
      <x:c r="C482" s="26" t="n">
        <x:v>9</x:v>
      </x:c>
      <x:c r="D482" s="24" t="n">
        <x:v>70.65</x:v>
      </x:c>
      <x:c r="E482" s="24" t="n">
        <x:v>68.14</x:v>
      </x:c>
      <x:c r="F482" s="24" t="n">
        <x:v>57.3</x:v>
      </x:c>
      <x:c r="G482" s="24" t="n">
        <x:v>8</x:v>
      </x:c>
      <x:c r="H482" s="24" t="n">
        <x:v>54.89</x:v>
      </x:c>
      <x:c r="I482" s="24" t="n">
        <x:v>29.62</x:v>
      </x:c>
      <x:c r="J482" s="24" t="n">
        <x:v>33.33</x:v>
      </x:c>
      <x:c r="K482" s="24" t="n">
        <x:v>14.18</x:v>
      </x:c>
      <x:c r="L482" s="24" t="n">
        <x:v>1.65</x:v>
      </x:c>
      <x:c r="M482" s="24" t="n">
        <x:f>0.35*(100-D482)+0.10*(100-E482)+0.20*(100-I482)+0.15*J482+0.10*G482+0.10*K482+L482</x:f>
        <x:v>36.401999999999994</x:v>
      </x:c>
      <x:c r="N482" t="str">
        <x:f>IF(M482&lt;27,"Low",IF(M482&lt;50,"Medium","High"))</x:f>
        <x:v>Medium</x:v>
      </x:c>
    </x:row>
    <x:row r="483">
      <x:c r="A483" t="str">
        <x:v>ML480</x:v>
      </x:c>
      <x:c r="B483" s="26" t="n">
        <x:v>4</x:v>
      </x:c>
      <x:c r="C483" s="26" t="n">
        <x:v>8</x:v>
      </x:c>
      <x:c r="D483" s="24" t="n">
        <x:v>81.79</x:v>
      </x:c>
      <x:c r="E483" s="24" t="n">
        <x:v>81.14</x:v>
      </x:c>
      <x:c r="F483" s="24" t="n">
        <x:v>74.16</x:v>
      </x:c>
      <x:c r="G483" s="24" t="n">
        <x:v>7.02</x:v>
      </x:c>
      <x:c r="H483" s="24" t="n">
        <x:v>69.72</x:v>
      </x:c>
      <x:c r="I483" s="24" t="n">
        <x:v>57.55</x:v>
      </x:c>
      <x:c r="J483" s="24" t="n">
        <x:v>0</x:v>
      </x:c>
      <x:c r="K483" s="24" t="n">
        <x:v>6.9</x:v>
      </x:c>
      <x:c r="L483" s="24" t="n">
        <x:v>-2.19</x:v>
      </x:c>
      <x:c r="M483" s="24" t="n">
        <x:f>0.35*(100-D483)+0.10*(100-E483)+0.20*(100-I483)+0.15*J483+0.10*G483+0.10*K483+L483</x:f>
        <x:v>15.951499999999998</x:v>
      </x:c>
      <x:c r="N483" t="str">
        <x:f>IF(M483&lt;27,"Low",IF(M483&lt;50,"Medium","High"))</x:f>
        <x:v>Low</x:v>
      </x:c>
    </x:row>
    <x:row r="484">
      <x:c r="A484" t="str">
        <x:v>ML481</x:v>
      </x:c>
      <x:c r="B484" s="26" t="n">
        <x:v>5</x:v>
      </x:c>
      <x:c r="C484" s="26" t="n">
        <x:v>8</x:v>
      </x:c>
      <x:c r="D484" s="24" t="n">
        <x:v>69.4</x:v>
      </x:c>
      <x:c r="E484" s="24" t="n">
        <x:v>69.78</x:v>
      </x:c>
      <x:c r="F484" s="24" t="n">
        <x:v>60.64</x:v>
      </x:c>
      <x:c r="G484" s="24" t="n">
        <x:v>6.3</x:v>
      </x:c>
      <x:c r="H484" s="24" t="n">
        <x:v>61.59</x:v>
      </x:c>
      <x:c r="I484" s="24" t="n">
        <x:v>49.89</x:v>
      </x:c>
      <x:c r="J484" s="24" t="n">
        <x:v>12.5</x:v>
      </x:c>
      <x:c r="K484" s="24" t="n">
        <x:v>6.93</x:v>
      </x:c>
      <x:c r="L484" s="24" t="n">
        <x:v>-4.74</x:v>
      </x:c>
      <x:c r="M484" s="24" t="n">
        <x:f>0.35*(100-D484)+0.10*(100-E484)+0.20*(100-I484)+0.15*J484+0.10*G484+0.10*K484+L484</x:f>
        <x:v>22.211999999999996</x:v>
      </x:c>
      <x:c r="N484" t="str">
        <x:f>IF(M484&lt;27,"Low",IF(M484&lt;50,"Medium","High"))</x:f>
        <x:v>Low</x:v>
      </x:c>
    </x:row>
    <x:row r="485">
      <x:c r="A485" t="str">
        <x:v>ML482</x:v>
      </x:c>
      <x:c r="B485" s="26" t="n">
        <x:v>9</x:v>
      </x:c>
      <x:c r="C485" s="26" t="n">
        <x:v>4</x:v>
      </x:c>
      <x:c r="D485" s="24" t="n">
        <x:v>68.62</x:v>
      </x:c>
      <x:c r="E485" s="24" t="n">
        <x:v>71.21</x:v>
      </x:c>
      <x:c r="F485" s="24" t="n">
        <x:v>45.92</x:v>
      </x:c>
      <x:c r="G485" s="24" t="n">
        <x:v>13.09</x:v>
      </x:c>
      <x:c r="H485" s="24" t="n">
        <x:v>67.08</x:v>
      </x:c>
      <x:c r="I485" s="24" t="n">
        <x:v>60.21</x:v>
      </x:c>
      <x:c r="J485" s="24" t="n">
        <x:v>0</x:v>
      </x:c>
      <x:c r="K485" s="24" t="n">
        <x:v>6.7</x:v>
      </x:c>
      <x:c r="L485" s="24" t="n">
        <x:v>5.37</x:v>
      </x:c>
      <x:c r="M485" s="24" t="n">
        <x:f>0.35*(100-D485)+0.10*(100-E485)+0.20*(100-I485)+0.15*J485+0.10*G485+0.10*K485+L485</x:f>
        <x:v>29.169000000000004</x:v>
      </x:c>
      <x:c r="N485" t="str">
        <x:f>IF(M485&lt;27,"Low",IF(M485&lt;50,"Medium","High"))</x:f>
        <x:v>Medium</x:v>
      </x:c>
    </x:row>
    <x:row r="486">
      <x:c r="A486" t="str">
        <x:v>ML483</x:v>
      </x:c>
      <x:c r="B486" s="26" t="n">
        <x:v>8</x:v>
      </x:c>
      <x:c r="C486" s="26" t="n">
        <x:v>8</x:v>
      </x:c>
      <x:c r="D486" s="24" t="n">
        <x:v>62.77</x:v>
      </x:c>
      <x:c r="E486" s="24" t="n">
        <x:v>64.02</x:v>
      </x:c>
      <x:c r="F486" s="24" t="n">
        <x:v>41.46</x:v>
      </x:c>
      <x:c r="G486" s="24" t="n">
        <x:v>12.76</x:v>
      </x:c>
      <x:c r="H486" s="24" t="n">
        <x:v>57.05</x:v>
      </x:c>
      <x:c r="I486" s="24" t="n">
        <x:v>30.95</x:v>
      </x:c>
      <x:c r="J486" s="24" t="n">
        <x:v>37.5</x:v>
      </x:c>
      <x:c r="K486" s="24" t="n">
        <x:v>16.36</x:v>
      </x:c>
      <x:c r="L486" s="24" t="n">
        <x:v>-8.23</x:v>
      </x:c>
      <x:c r="M486" s="24" t="n">
        <x:f>0.35*(100-D486)+0.10*(100-E486)+0.20*(100-I486)+0.15*J486+0.10*G486+0.10*K486+L486</x:f>
        <x:v>30.745500000000003</x:v>
      </x:c>
      <x:c r="N486" t="str">
        <x:f>IF(M486&lt;27,"Low",IF(M486&lt;50,"Medium","High"))</x:f>
        <x:v>Medium</x:v>
      </x:c>
    </x:row>
    <x:row r="487">
      <x:c r="A487" t="str">
        <x:v>ML484</x:v>
      </x:c>
      <x:c r="B487" s="26" t="n">
        <x:v>9</x:v>
      </x:c>
      <x:c r="C487" s="26" t="n">
        <x:v>10</x:v>
      </x:c>
      <x:c r="D487" s="24" t="n">
        <x:v>80.71</x:v>
      </x:c>
      <x:c r="E487" s="24" t="n">
        <x:v>78.2</x:v>
      </x:c>
      <x:c r="F487" s="24" t="n">
        <x:v>69.53</x:v>
      </x:c>
      <x:c r="G487" s="24" t="n">
        <x:v>6.79</x:v>
      </x:c>
      <x:c r="H487" s="24" t="n">
        <x:v>74.45</x:v>
      </x:c>
      <x:c r="I487" s="24" t="n">
        <x:v>62.14</x:v>
      </x:c>
      <x:c r="J487" s="24" t="n">
        <x:v>0</x:v>
      </x:c>
      <x:c r="K487" s="24" t="n">
        <x:v>8.33</x:v>
      </x:c>
      <x:c r="L487" s="24" t="n">
        <x:v>5.68</x:v>
      </x:c>
      <x:c r="M487" s="24" t="n">
        <x:f>0.35*(100-D487)+0.10*(100-E487)+0.20*(100-I487)+0.15*J487+0.10*G487+0.10*K487+L487</x:f>
        <x:v>23.6955</x:v>
      </x:c>
      <x:c r="N487" t="str">
        <x:f>IF(M487&lt;27,"Low",IF(M487&lt;50,"Medium","High"))</x:f>
        <x:v>Low</x:v>
      </x:c>
    </x:row>
    <x:row r="488">
      <x:c r="A488" t="str">
        <x:v>ML485</x:v>
      </x:c>
      <x:c r="B488" s="26" t="n">
        <x:v>8</x:v>
      </x:c>
      <x:c r="C488" s="26" t="n">
        <x:v>5</x:v>
      </x:c>
      <x:c r="D488" s="24" t="n">
        <x:v>70.64</x:v>
      </x:c>
      <x:c r="E488" s="24" t="n">
        <x:v>68.97</x:v>
      </x:c>
      <x:c r="F488" s="24" t="n">
        <x:v>53.4</x:v>
      </x:c>
      <x:c r="G488" s="24" t="n">
        <x:v>10.3</x:v>
      </x:c>
      <x:c r="H488" s="24" t="n">
        <x:v>80.55</x:v>
      </x:c>
      <x:c r="I488" s="24" t="n">
        <x:v>70.29</x:v>
      </x:c>
      <x:c r="J488" s="24" t="n">
        <x:v>0</x:v>
      </x:c>
      <x:c r="K488" s="24" t="n">
        <x:v>5.16</x:v>
      </x:c>
      <x:c r="L488" s="24" t="n">
        <x:v>-7.16</x:v>
      </x:c>
      <x:c r="M488" s="24" t="n">
        <x:f>0.35*(100-D488)+0.10*(100-E488)+0.20*(100-I488)+0.15*J488+0.10*G488+0.10*K488+L488</x:f>
        <x:v>13.706999999999997</x:v>
      </x:c>
      <x:c r="N488" t="str">
        <x:f>IF(M488&lt;27,"Low",IF(M488&lt;50,"Medium","High"))</x:f>
        <x:v>Low</x:v>
      </x:c>
    </x:row>
    <x:row r="489">
      <x:c r="A489" t="str">
        <x:v>ML486</x:v>
      </x:c>
      <x:c r="B489" s="26" t="n">
        <x:v>9</x:v>
      </x:c>
      <x:c r="C489" s="26" t="n">
        <x:v>8</x:v>
      </x:c>
      <x:c r="D489" s="24" t="n">
        <x:v>66.74</x:v>
      </x:c>
      <x:c r="E489" s="24" t="n">
        <x:v>66</x:v>
      </x:c>
      <x:c r="F489" s="24" t="n">
        <x:v>55.52</x:v>
      </x:c>
      <x:c r="G489" s="24" t="n">
        <x:v>7.8</x:v>
      </x:c>
      <x:c r="H489" s="24" t="n">
        <x:v>55.63</x:v>
      </x:c>
      <x:c r="I489" s="24" t="n">
        <x:v>44.4</x:v>
      </x:c>
      <x:c r="J489" s="24" t="n">
        <x:v>25</x:v>
      </x:c>
      <x:c r="K489" s="24" t="n">
        <x:v>7.53</x:v>
      </x:c>
      <x:c r="L489" s="24" t="n">
        <x:v>1.91</x:v>
      </x:c>
      <x:c r="M489" s="24" t="n">
        <x:f>0.35*(100-D489)+0.10*(100-E489)+0.20*(100-I489)+0.15*J489+0.10*G489+0.10*K489+L489</x:f>
        <x:v>33.354</x:v>
      </x:c>
      <x:c r="N489" t="str">
        <x:f>IF(M489&lt;27,"Low",IF(M489&lt;50,"Medium","High"))</x:f>
        <x:v>Medium</x:v>
      </x:c>
    </x:row>
    <x:row r="490">
      <x:c r="A490" t="str">
        <x:v>ML487</x:v>
      </x:c>
      <x:c r="B490" s="26" t="n">
        <x:v>7</x:v>
      </x:c>
      <x:c r="C490" s="26" t="n">
        <x:v>10</x:v>
      </x:c>
      <x:c r="D490" s="24" t="n">
        <x:v>59.15</x:v>
      </x:c>
      <x:c r="E490" s="24" t="n">
        <x:v>59.85</x:v>
      </x:c>
      <x:c r="F490" s="24" t="n">
        <x:v>45.12</x:v>
      </x:c>
      <x:c r="G490" s="24" t="n">
        <x:v>9.36</x:v>
      </x:c>
      <x:c r="H490" s="24" t="n">
        <x:v>38.05</x:v>
      </x:c>
      <x:c r="I490" s="24" t="n">
        <x:v>22.2</x:v>
      </x:c>
      <x:c r="J490" s="24" t="n">
        <x:v>90</x:v>
      </x:c>
      <x:c r="K490" s="24" t="n">
        <x:v>10.81</x:v>
      </x:c>
      <x:c r="L490" s="24" t="n">
        <x:v>-3.38</x:v>
      </x:c>
      <x:c r="M490" s="24" t="n">
        <x:f>0.35*(100-D490)+0.10*(100-E490)+0.20*(100-I490)+0.15*J490+0.10*G490+0.10*K490+L490</x:f>
        <x:v>46.0095</x:v>
      </x:c>
      <x:c r="N490" t="str">
        <x:f>IF(M490&lt;27,"Low",IF(M490&lt;50,"Medium","High"))</x:f>
        <x:v>Medium</x:v>
      </x:c>
    </x:row>
    <x:row r="491">
      <x:c r="A491" t="str">
        <x:v>ML488</x:v>
      </x:c>
      <x:c r="B491" s="26" t="n">
        <x:v>4</x:v>
      </x:c>
      <x:c r="C491" s="26" t="n">
        <x:v>5</x:v>
      </x:c>
      <x:c r="D491" s="24" t="n">
        <x:v>84.5</x:v>
      </x:c>
      <x:c r="E491" s="24" t="n">
        <x:v>85.23</x:v>
      </x:c>
      <x:c r="F491" s="24" t="n">
        <x:v>77.46</x:v>
      </x:c>
      <x:c r="G491" s="24" t="n">
        <x:v>4.81</x:v>
      </x:c>
      <x:c r="H491" s="24" t="n">
        <x:v>90.6</x:v>
      </x:c>
      <x:c r="I491" s="24" t="n">
        <x:v>84.51</x:v>
      </x:c>
      <x:c r="J491" s="24" t="n">
        <x:v>0</x:v>
      </x:c>
      <x:c r="K491" s="24" t="n">
        <x:v>5.66</x:v>
      </x:c>
      <x:c r="L491" s="24" t="n">
        <x:v>-2.02</x:v>
      </x:c>
      <x:c r="M491" s="24" t="n">
        <x:f>0.35*(100-D491)+0.10*(100-E491)+0.20*(100-I491)+0.15*J491+0.10*G491+0.10*K491+L491</x:f>
        <x:v>9.027</x:v>
      </x:c>
      <x:c r="N491" t="str">
        <x:f>IF(M491&lt;27,"Low",IF(M491&lt;50,"Medium","High"))</x:f>
        <x:v>Low</x:v>
      </x:c>
    </x:row>
    <x:row r="492">
      <x:c r="A492" t="str">
        <x:v>ML489</x:v>
      </x:c>
      <x:c r="B492" s="26" t="n">
        <x:v>6</x:v>
      </x:c>
      <x:c r="C492" s="26" t="n">
        <x:v>7</x:v>
      </x:c>
      <x:c r="D492" s="24" t="n">
        <x:v>66.47</x:v>
      </x:c>
      <x:c r="E492" s="24" t="n">
        <x:v>62.1</x:v>
      </x:c>
      <x:c r="F492" s="24" t="n">
        <x:v>46.7</x:v>
      </x:c>
      <x:c r="G492" s="24" t="n">
        <x:v>8.1</x:v>
      </x:c>
      <x:c r="H492" s="24" t="n">
        <x:v>58.04</x:v>
      </x:c>
      <x:c r="I492" s="24" t="n">
        <x:v>46.46</x:v>
      </x:c>
      <x:c r="J492" s="24" t="n">
        <x:v>28.57</x:v>
      </x:c>
      <x:c r="K492" s="24" t="n">
        <x:v>9.13</x:v>
      </x:c>
      <x:c r="L492" s="24" t="n">
        <x:v>-7.26</x:v>
      </x:c>
      <x:c r="M492" s="24" t="n">
        <x:f>0.35*(100-D492)+0.10*(100-E492)+0.20*(100-I492)+0.15*J492+0.10*G492+0.10*K492+L492</x:f>
        <x:v>24.982</x:v>
      </x:c>
      <x:c r="N492" t="str">
        <x:f>IF(M492&lt;27,"Low",IF(M492&lt;50,"Medium","High"))</x:f>
        <x:v>Low</x:v>
      </x:c>
    </x:row>
    <x:row r="493">
      <x:c r="A493" t="str">
        <x:v>ML490</x:v>
      </x:c>
      <x:c r="B493" s="26" t="n">
        <x:v>6</x:v>
      </x:c>
      <x:c r="C493" s="26" t="n">
        <x:v>4</x:v>
      </x:c>
      <x:c r="D493" s="24" t="n">
        <x:v>60.11</x:v>
      </x:c>
      <x:c r="E493" s="24" t="n">
        <x:v>63.38</x:v>
      </x:c>
      <x:c r="F493" s="24" t="n">
        <x:v>52.08</x:v>
      </x:c>
      <x:c r="G493" s="24" t="n">
        <x:v>10.36</x:v>
      </x:c>
      <x:c r="H493" s="24" t="n">
        <x:v>53.45</x:v>
      </x:c>
      <x:c r="I493" s="24" t="n">
        <x:v>36.91</x:v>
      </x:c>
      <x:c r="J493" s="24" t="n">
        <x:v>25</x:v>
      </x:c>
      <x:c r="K493" s="24" t="n">
        <x:v>11.53</x:v>
      </x:c>
      <x:c r="L493" s="24" t="n">
        <x:v>6.01</x:v>
      </x:c>
      <x:c r="M493" s="24" t="n">
        <x:f>0.35*(100-D493)+0.10*(100-E493)+0.20*(100-I493)+0.15*J493+0.10*G493+0.10*K493+L493</x:f>
        <x:v>42.1905</x:v>
      </x:c>
      <x:c r="N493" t="str">
        <x:f>IF(M493&lt;27,"Low",IF(M493&lt;50,"Medium","High"))</x:f>
        <x:v>Medium</x:v>
      </x:c>
    </x:row>
    <x:row r="494">
      <x:c r="A494" t="str">
        <x:v>ML491</x:v>
      </x:c>
      <x:c r="B494" s="26" t="n">
        <x:v>6</x:v>
      </x:c>
      <x:c r="C494" s="26" t="n">
        <x:v>6</x:v>
      </x:c>
      <x:c r="D494" s="24" t="n">
        <x:v>50.37</x:v>
      </x:c>
      <x:c r="E494" s="24" t="n">
        <x:v>49.79</x:v>
      </x:c>
      <x:c r="F494" s="24" t="n">
        <x:v>39.62</x:v>
      </x:c>
      <x:c r="G494" s="24" t="n">
        <x:v>6.09</x:v>
      </x:c>
      <x:c r="H494" s="24" t="n">
        <x:v>39.81</x:v>
      </x:c>
      <x:c r="I494" s="24" t="n">
        <x:v>20.99</x:v>
      </x:c>
      <x:c r="J494" s="24" t="n">
        <x:v>66.67</x:v>
      </x:c>
      <x:c r="K494" s="24" t="n">
        <x:v>13.3</x:v>
      </x:c>
      <x:c r="L494" s="24" t="n">
        <x:v>-7.26</x:v>
      </x:c>
      <x:c r="M494" s="24" t="n">
        <x:f>0.35*(100-D494)+0.10*(100-E494)+0.20*(100-I494)+0.15*J494+0.10*G494+0.10*K494+L494</x:f>
        <x:v>42.873000000000005</x:v>
      </x:c>
      <x:c r="N494" t="str">
        <x:f>IF(M494&lt;27,"Low",IF(M494&lt;50,"Medium","High"))</x:f>
        <x:v>Medium</x:v>
      </x:c>
    </x:row>
    <x:row r="495">
      <x:c r="A495" t="str">
        <x:v>ML492</x:v>
      </x:c>
      <x:c r="B495" s="26" t="n">
        <x:v>4</x:v>
      </x:c>
      <x:c r="C495" s="26" t="n">
        <x:v>9</x:v>
      </x:c>
      <x:c r="D495" s="24" t="n">
        <x:v>66.01</x:v>
      </x:c>
      <x:c r="E495" s="24" t="n">
        <x:v>63.63</x:v>
      </x:c>
      <x:c r="F495" s="24" t="n">
        <x:v>49.14</x:v>
      </x:c>
      <x:c r="G495" s="24" t="n">
        <x:v>15.45</x:v>
      </x:c>
      <x:c r="H495" s="24" t="n">
        <x:v>58.58</x:v>
      </x:c>
      <x:c r="I495" s="24" t="n">
        <x:v>46.39</x:v>
      </x:c>
      <x:c r="J495" s="24" t="n">
        <x:v>11.11</x:v>
      </x:c>
      <x:c r="K495" s="24" t="n">
        <x:v>6.25</x:v>
      </x:c>
      <x:c r="L495" s="24" t="n">
        <x:v>-3.26</x:v>
      </x:c>
      <x:c r="M495" s="24" t="n">
        <x:f>0.35*(100-D495)+0.10*(100-E495)+0.20*(100-I495)+0.15*J495+0.10*G495+0.10*K495+L495</x:f>
        <x:v>26.832</x:v>
      </x:c>
      <x:c r="N495" t="str">
        <x:f>IF(M495&lt;27,"Low",IF(M495&lt;50,"Medium","High"))</x:f>
        <x:v>Low</x:v>
      </x:c>
    </x:row>
    <x:row r="496">
      <x:c r="A496" t="str">
        <x:v>ML493</x:v>
      </x:c>
      <x:c r="B496" s="26" t="n">
        <x:v>4</x:v>
      </x:c>
      <x:c r="C496" s="26" t="n">
        <x:v>8</x:v>
      </x:c>
      <x:c r="D496" s="24" t="n">
        <x:v>71.11</x:v>
      </x:c>
      <x:c r="E496" s="24" t="n">
        <x:v>71.59</x:v>
      </x:c>
      <x:c r="F496" s="24" t="n">
        <x:v>56.69</x:v>
      </x:c>
      <x:c r="G496" s="24" t="n">
        <x:v>13.48</x:v>
      </x:c>
      <x:c r="H496" s="24" t="n">
        <x:v>71.78</x:v>
      </x:c>
      <x:c r="I496" s="24" t="n">
        <x:v>53.64</x:v>
      </x:c>
      <x:c r="J496" s="24" t="n">
        <x:v>0</x:v>
      </x:c>
      <x:c r="K496" s="24" t="n">
        <x:v>7.97</x:v>
      </x:c>
      <x:c r="L496" s="24" t="n">
        <x:v>-2.38</x:v>
      </x:c>
      <x:c r="M496" s="24" t="n">
        <x:f>0.35*(100-D496)+0.10*(100-E496)+0.20*(100-I496)+0.15*J496+0.10*G496+0.10*K496+L496</x:f>
        <x:v>21.9895</x:v>
      </x:c>
      <x:c r="N496" t="str">
        <x:f>IF(M496&lt;27,"Low",IF(M496&lt;50,"Medium","High"))</x:f>
        <x:v>Low</x:v>
      </x:c>
    </x:row>
    <x:row r="497">
      <x:c r="A497" t="str">
        <x:v>ML494</x:v>
      </x:c>
      <x:c r="B497" s="26" t="n">
        <x:v>5</x:v>
      </x:c>
      <x:c r="C497" s="26" t="n">
        <x:v>8</x:v>
      </x:c>
      <x:c r="D497" s="24" t="n">
        <x:v>74.01</x:v>
      </x:c>
      <x:c r="E497" s="24" t="n">
        <x:v>72.37</x:v>
      </x:c>
      <x:c r="F497" s="24" t="n">
        <x:v>60.13</x:v>
      </x:c>
      <x:c r="G497" s="24" t="n">
        <x:v>6.41</x:v>
      </x:c>
      <x:c r="H497" s="24" t="n">
        <x:v>75.67</x:v>
      </x:c>
      <x:c r="I497" s="24" t="n">
        <x:v>54.82</x:v>
      </x:c>
      <x:c r="J497" s="24" t="n">
        <x:v>0</x:v>
      </x:c>
      <x:c r="K497" s="24" t="n">
        <x:v>10.86</x:v>
      </x:c>
      <x:c r="L497" s="24" t="n">
        <x:v>2.04</x:v>
      </x:c>
      <x:c r="M497" s="24" t="n">
        <x:f>0.35*(100-D497)+0.10*(100-E497)+0.20*(100-I497)+0.15*J497+0.10*G497+0.10*K497+L497</x:f>
        <x:v>24.662499999999994</x:v>
      </x:c>
      <x:c r="N497" t="str">
        <x:f>IF(M497&lt;27,"Low",IF(M497&lt;50,"Medium","High"))</x:f>
        <x:v>Low</x:v>
      </x:c>
    </x:row>
    <x:row r="498">
      <x:c r="A498" t="str">
        <x:v>ML495</x:v>
      </x:c>
      <x:c r="B498" s="26" t="n">
        <x:v>6</x:v>
      </x:c>
      <x:c r="C498" s="26" t="n">
        <x:v>7</x:v>
      </x:c>
      <x:c r="D498" s="24" t="n">
        <x:v>39.96</x:v>
      </x:c>
      <x:c r="E498" s="24" t="n">
        <x:v>39.42</x:v>
      </x:c>
      <x:c r="F498" s="24" t="n">
        <x:v>18.85</x:v>
      </x:c>
      <x:c r="G498" s="24" t="n">
        <x:v>10.65</x:v>
      </x:c>
      <x:c r="H498" s="24" t="n">
        <x:v>31.41</x:v>
      </x:c>
      <x:c r="I498" s="24" t="n">
        <x:v>17.8</x:v>
      </x:c>
      <x:c r="J498" s="24" t="n">
        <x:v>100</x:v>
      </x:c>
      <x:c r="K498" s="24" t="n">
        <x:v>6.34</x:v>
      </x:c>
      <x:c r="L498" s="24" t="n">
        <x:v>-2.77</x:v>
      </x:c>
      <x:c r="M498" s="24" t="n">
        <x:f>0.35*(100-D498)+0.10*(100-E498)+0.20*(100-I498)+0.15*J498+0.10*G498+0.10*K498+L498</x:f>
        <x:v>57.440999999999995</x:v>
      </x:c>
      <x:c r="N498" t="str">
        <x:f>IF(M498&lt;27,"Low",IF(M498&lt;50,"Medium","High"))</x:f>
        <x:v>High</x:v>
      </x:c>
    </x:row>
    <x:row r="499">
      <x:c r="A499" t="str">
        <x:v>ML496</x:v>
      </x:c>
      <x:c r="B499" s="26" t="n">
        <x:v>8</x:v>
      </x:c>
      <x:c r="C499" s="26" t="n">
        <x:v>10</x:v>
      </x:c>
      <x:c r="D499" s="24" t="n">
        <x:v>78.94</x:v>
      </x:c>
      <x:c r="E499" s="24" t="n">
        <x:v>74.2</x:v>
      </x:c>
      <x:c r="F499" s="24" t="n">
        <x:v>65.76</x:v>
      </x:c>
      <x:c r="G499" s="24" t="n">
        <x:v>5.22</x:v>
      </x:c>
      <x:c r="H499" s="24" t="n">
        <x:v>70.04</x:v>
      </x:c>
      <x:c r="I499" s="24" t="n">
        <x:v>55.15</x:v>
      </x:c>
      <x:c r="J499" s="24" t="n">
        <x:v>0</x:v>
      </x:c>
      <x:c r="K499" s="24" t="n">
        <x:v>10.09</x:v>
      </x:c>
      <x:c r="L499" s="24" t="n">
        <x:v>-6.67</x:v>
      </x:c>
      <x:c r="M499" s="24" t="n">
        <x:f>0.35*(100-D499)+0.10*(100-E499)+0.20*(100-I499)+0.15*J499+0.10*G499+0.10*K499+L499</x:f>
        <x:v>13.781999999999998</x:v>
      </x:c>
      <x:c r="N499" t="str">
        <x:f>IF(M499&lt;27,"Low",IF(M499&lt;50,"Medium","High"))</x:f>
        <x:v>Low</x:v>
      </x:c>
    </x:row>
    <x:row r="500">
      <x:c r="A500" t="str">
        <x:v>ML497</x:v>
      </x:c>
      <x:c r="B500" s="26" t="n">
        <x:v>8</x:v>
      </x:c>
      <x:c r="C500" s="26" t="n">
        <x:v>10</x:v>
      </x:c>
      <x:c r="D500" s="24" t="n">
        <x:v>64.89</x:v>
      </x:c>
      <x:c r="E500" s="24" t="n">
        <x:v>62.94</x:v>
      </x:c>
      <x:c r="F500" s="24" t="n">
        <x:v>48.58</x:v>
      </x:c>
      <x:c r="G500" s="24" t="n">
        <x:v>5.7</x:v>
      </x:c>
      <x:c r="H500" s="24" t="n">
        <x:v>62.36</x:v>
      </x:c>
      <x:c r="I500" s="24" t="n">
        <x:v>52.22</x:v>
      </x:c>
      <x:c r="J500" s="24" t="n">
        <x:v>0</x:v>
      </x:c>
      <x:c r="K500" s="24" t="n">
        <x:v>6.36</x:v>
      </x:c>
      <x:c r="L500" s="24" t="n">
        <x:v>-0.46</x:v>
      </x:c>
      <x:c r="M500" s="24" t="n">
        <x:f>0.35*(100-D500)+0.10*(100-E500)+0.20*(100-I500)+0.15*J500+0.10*G500+0.10*K500+L500</x:f>
        <x:v>26.296499999999998</x:v>
      </x:c>
      <x:c r="N500" t="str">
        <x:f>IF(M500&lt;27,"Low",IF(M500&lt;50,"Medium","High"))</x:f>
        <x:v>Low</x:v>
      </x:c>
    </x:row>
    <x:row r="501">
      <x:c r="A501" t="str">
        <x:v>ML498</x:v>
      </x:c>
      <x:c r="B501" s="26" t="n">
        <x:v>6</x:v>
      </x:c>
      <x:c r="C501" s="26" t="n">
        <x:v>5</x:v>
      </x:c>
      <x:c r="D501" s="24" t="n">
        <x:v>55.65</x:v>
      </x:c>
      <x:c r="E501" s="24" t="n">
        <x:v>53.78</x:v>
      </x:c>
      <x:c r="F501" s="24" t="n">
        <x:v>31.32</x:v>
      </x:c>
      <x:c r="G501" s="24" t="n">
        <x:v>12.37</x:v>
      </x:c>
      <x:c r="H501" s="24" t="n">
        <x:v>41.23</x:v>
      </x:c>
      <x:c r="I501" s="24" t="n">
        <x:v>16.6</x:v>
      </x:c>
      <x:c r="J501" s="24" t="n">
        <x:v>80</x:v>
      </x:c>
      <x:c r="K501" s="24" t="n">
        <x:v>13.86</x:v>
      </x:c>
      <x:c r="L501" s="24" t="n">
        <x:v>-1.64</x:v>
      </x:c>
      <x:c r="M501" s="24" t="n">
        <x:f>0.35*(100-D501)+0.10*(100-E501)+0.20*(100-I501)+0.15*J501+0.10*G501+0.10*K501+L501</x:f>
        <x:v>49.807500000000005</x:v>
      </x:c>
      <x:c r="N501" t="str">
        <x:f>IF(M501&lt;27,"Low",IF(M501&lt;50,"Medium","High"))</x:f>
        <x:v>Medium</x:v>
      </x:c>
    </x:row>
    <x:row r="502">
      <x:c r="A502" t="str">
        <x:v>ML499</x:v>
      </x:c>
      <x:c r="B502" s="26" t="n">
        <x:v>5</x:v>
      </x:c>
      <x:c r="C502" s="26" t="n">
        <x:v>8</x:v>
      </x:c>
      <x:c r="D502" s="24" t="n">
        <x:v>71.92</x:v>
      </x:c>
      <x:c r="E502" s="24" t="n">
        <x:v>73.42</x:v>
      </x:c>
      <x:c r="F502" s="24" t="n">
        <x:v>52.48</x:v>
      </x:c>
      <x:c r="G502" s="24" t="n">
        <x:v>13.36</x:v>
      </x:c>
      <x:c r="H502" s="24" t="n">
        <x:v>75.42</x:v>
      </x:c>
      <x:c r="I502" s="24" t="n">
        <x:v>55.41</x:v>
      </x:c>
      <x:c r="J502" s="24" t="n">
        <x:v>0</x:v>
      </x:c>
      <x:c r="K502" s="24" t="n">
        <x:v>9.13</x:v>
      </x:c>
      <x:c r="L502" s="24" t="n">
        <x:v>-1.96</x:v>
      </x:c>
      <x:c r="M502" s="24" t="n">
        <x:f>0.35*(100-D502)+0.10*(100-E502)+0.20*(100-I502)+0.15*J502+0.10*G502+0.10*K502+L502</x:f>
        <x:v>21.692999999999998</x:v>
      </x:c>
      <x:c r="N502" t="str">
        <x:f>IF(M502&lt;27,"Low",IF(M502&lt;50,"Medium","High"))</x:f>
        <x:v>Low</x:v>
      </x:c>
    </x:row>
    <x:row r="503">
      <x:c r="A503" t="str">
        <x:v>ML500</x:v>
      </x:c>
      <x:c r="B503" s="26" t="n">
        <x:v>9</x:v>
      </x:c>
      <x:c r="C503" s="26" t="n">
        <x:v>8</x:v>
      </x:c>
      <x:c r="D503" s="24" t="n">
        <x:v>62.57</x:v>
      </x:c>
      <x:c r="E503" s="24" t="n">
        <x:v>64.93</x:v>
      </x:c>
      <x:c r="F503" s="24" t="n">
        <x:v>43.99</x:v>
      </x:c>
      <x:c r="G503" s="24" t="n">
        <x:v>11.35</x:v>
      </x:c>
      <x:c r="H503" s="24" t="n">
        <x:v>72.38</x:v>
      </x:c>
      <x:c r="I503" s="24" t="n">
        <x:v>62.77</x:v>
      </x:c>
      <x:c r="J503" s="24" t="n">
        <x:v>0</x:v>
      </x:c>
      <x:c r="K503" s="24" t="n">
        <x:v>7.97</x:v>
      </x:c>
      <x:c r="L503" s="24" t="n">
        <x:v>1.43</x:v>
      </x:c>
      <x:c r="M503" s="24" t="n">
        <x:f>0.35*(100-D503)+0.10*(100-E503)+0.20*(100-I503)+0.15*J503+0.10*G503+0.10*K503+L503</x:f>
        <x:v>27.4155</x:v>
      </x:c>
      <x:c r="N503" t="str">
        <x:f>IF(M503&lt;27,"Low",IF(M503&lt;50,"Medium","High"))</x:f>
        <x:v>Medium</x:v>
      </x:c>
    </x:row>
  </x:sheetData>
  <x:mergeCells>
    <x:mergeCell ref="A1:N1"/>
    <x:mergeCell ref="A2:N2"/>
  </x:mergeCells>
  <x:conditionalFormatting sqref="N4:N503">
    <x:cfRule type="expression" dxfId="0" priority="1">
      <x:formula>N4="Low"</x:formula>
    </x:cfRule>
    <x:cfRule type="expression" dxfId="1" priority="2">
      <x:formula>N4="Medium"</x:formula>
    </x:cfRule>
    <x:cfRule type="expression" dxfId="2" priority="3">
      <x:formula>N4="High"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5" hidden="0" customWidth="1"/>
    <x:col min="4" max="4" width="48" hidden="0" customWidth="1"/>
  </x:cols>
  <x:sheetData>
    <x:row r="1">
      <x:c r="A1" s="5" t="str">
        <x:v>Generic Proxy Risk Labeling Framework</x:v>
      </x:c>
      <x:c r="B1" s="5"/>
      <x:c r="C1" s="5"/>
      <x:c r="D1" s="5"/>
    </x:row>
    <x:row r="3">
      <x:c r="A3" s="19" t="str">
        <x:v>Component</x:v>
      </x:c>
      <x:c r="B3" s="19" t="str">
        <x:v>Weight</x:v>
      </x:c>
      <x:c r="C3" s="19" t="str">
        <x:v>Meaning</x:v>
      </x:c>
      <x:c r="D3" s="19" t="str">
        <x:v>Formula input</x:v>
      </x:c>
    </x:row>
    <x:row r="4">
      <x:c r="A4" t="str">
        <x:v>Coursework weakness</x:v>
      </x:c>
      <x:c r="B4" t="str">
        <x:v>35%</x:v>
      </x:c>
      <x:c r="C4" t="str">
        <x:v>Lower normalized coursework performance raises risk</x:v>
      </x:c>
      <x:c r="D4" t="str">
        <x:v>100 - Coursework Performance %</x:v>
      </x:c>
    </x:row>
    <x:row r="5">
      <x:c r="A5" t="str">
        <x:v>Assessment-average weakness</x:v>
      </x:c>
      <x:c r="B5" t="str">
        <x:v>10%</x:v>
      </x:c>
      <x:c r="C5" t="str">
        <x:v>Lower average assessment performance raises risk</x:v>
      </x:c>
      <x:c r="D5" t="str">
        <x:v>100 - Assessment Average %</x:v>
      </x:c>
    </x:row>
    <x:row r="6">
      <x:c r="A6" t="str">
        <x:v>Weakest chapter severity</x:v>
      </x:c>
      <x:c r="B6" t="str">
        <x:v>20%</x:v>
      </x:c>
      <x:c r="C6" t="str">
        <x:v>A very weak chapter raises risk</x:v>
      </x:c>
      <x:c r="D6" t="str">
        <x:v>100 - Lowest Chapter Score %</x:v>
      </x:c>
    </x:row>
    <x:row r="7">
      <x:c r="A7" t="str">
        <x:v>Weak-chapter breadth</x:v>
      </x:c>
      <x:c r="B7" t="str">
        <x:v>15%</x:v>
      </x:c>
      <x:c r="C7" t="str">
        <x:v>A higher proportion of weak chapters raises risk</x:v>
      </x:c>
      <x:c r="D7" t="str">
        <x:v>Weak Chapter Ratio %</x:v>
      </x:c>
    </x:row>
    <x:row r="8">
      <x:c r="A8" t="str">
        <x:v>Assessment inconsistency</x:v>
      </x:c>
      <x:c r="B8" t="str">
        <x:v>10%</x:v>
      </x:c>
      <x:c r="C8" t="str">
        <x:v>Large variation between assessments raises risk</x:v>
      </x:c>
      <x:c r="D8" t="str">
        <x:v>Assessment Score Std Dev %</x:v>
      </x:c>
    </x:row>
    <x:row r="9">
      <x:c r="A9" t="str">
        <x:v>Chapter inconsistency</x:v>
      </x:c>
      <x:c r="B9" t="str">
        <x:v>10%</x:v>
      </x:c>
      <x:c r="C9" t="str">
        <x:v>Large variation between chapter scores raises risk</x:v>
      </x:c>
      <x:c r="D9" t="str">
        <x:v>Chapter Score Std Dev %</x:v>
      </x:c>
    </x:row>
    <x:row r="10">
      <x:c r="A10" t="str">
        <x:v>Synthetic noise</x:v>
      </x:c>
      <x:c r="B10" t="str">
        <x:v>Small</x:v>
      </x:c>
      <x:c r="C10" t="str">
        <x:v>Avoids perfectly deterministic proxy labels</x:v>
      </x:c>
      <x:c r="D10" t="str">
        <x:v>Fixed generated noise value</x:v>
      </x:c>
    </x:row>
    <x:row r="13">
      <x:c r="A13" s="19" t="str">
        <x:v>Risk Level</x:v>
      </x:c>
      <x:c r="B13" s="19" t="str">
        <x:v>Risk Score Range</x:v>
      </x:c>
      <x:c r="C13" s="19" t="str">
        <x:v>Interpretation</x:v>
      </x:c>
    </x:row>
    <x:row r="14">
      <x:c r="A14" t="str">
        <x:v>Low</x:v>
      </x:c>
      <x:c r="B14" t="str">
        <x:v>&lt; 27</x:v>
      </x:c>
      <x:c r="C14" t="str">
        <x:v>Relatively strong overall pattern</x:v>
      </x:c>
    </x:row>
    <x:row r="15">
      <x:c r="A15" t="str">
        <x:v>Medium</x:v>
      </x:c>
      <x:c r="B15" t="str">
        <x:v>27 to &lt; 50</x:v>
      </x:c>
      <x:c r="C15" t="str">
        <x:v>Some academic concerns require monitoring</x:v>
      </x:c>
    </x:row>
    <x:row r="16">
      <x:c r="A16" t="str">
        <x:v>High</x:v>
      </x:c>
      <x:c r="B16" t="str">
        <x:v>≥ 50</x:v>
      </x:c>
      <x:c r="C16" t="str">
        <x:v>Stronger academic concerns require attention</x:v>
      </x:c>
    </x:row>
    <x:row r="19">
      <x:c r="A19" s="12" t="str">
        <x:v>Important: These are synthetic proxy labels for proof-of-concept ML development because real historical lecturer-validated risk labels are not available. The Risk Score and Label Noise columns are excluded from ML training.</x:v>
      </x:c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</x:sheetData>
  <x:mergeCells>
    <x:mergeCell ref="A1:D1"/>
    <x:mergeCell ref="A19:D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76" hidden="0" customWidth="1"/>
  </x:cols>
  <x:sheetData>
    <x:row r="1">
      <x:c r="A1" s="19" t="str">
        <x:v>Field</x:v>
      </x:c>
      <x:c r="B1" s="19" t="str">
        <x:v>Type</x:v>
      </x:c>
      <x:c r="C1" s="19" t="str">
        <x:v>Use in ML?</x:v>
      </x:c>
      <x:c r="D1" s="19" t="str">
        <x:v>Description</x:v>
      </x:c>
    </x:row>
    <x:row r="2">
      <x:c r="A2" s="28" t="str">
        <x:v>Student ID</x:v>
      </x:c>
      <x:c r="B2" s="28" t="str">
        <x:v>Identifier</x:v>
      </x:c>
      <x:c r="C2" s="28" t="str">
        <x:v>No</x:v>
      </x:c>
      <x:c r="D2" s="28" t="str">
        <x:v>Synthetic identifier only</x:v>
      </x:c>
    </x:row>
    <x:row r="3">
      <x:c r="A3" s="28" t="str">
        <x:v>Number of Assessments</x:v>
      </x:c>
      <x:c r="B3" s="28" t="str">
        <x:v>Metadata</x:v>
      </x:c>
      <x:c r="C3" s="28" t="str">
        <x:v>No</x:v>
      </x:c>
      <x:c r="D3" s="28" t="str">
        <x:v>Shows that training records represent different course structures</x:v>
      </x:c>
    </x:row>
    <x:row r="4">
      <x:c r="A4" s="28" t="str">
        <x:v>Number of Chapters</x:v>
      </x:c>
      <x:c r="B4" s="28" t="str">
        <x:v>Metadata</x:v>
      </x:c>
      <x:c r="C4" s="28" t="str">
        <x:v>No</x:v>
      </x:c>
      <x:c r="D4" s="28" t="str">
        <x:v>Shows that training records represent different chapter counts</x:v>
      </x:c>
    </x:row>
    <x:row r="5">
      <x:c r="A5" s="28" t="str">
        <x:v>Coursework Performance %</x:v>
      </x:c>
      <x:c r="B5" s="28" t="str">
        <x:v>Feature</x:v>
      </x:c>
      <x:c r="C5" s="28" t="str">
        <x:v>Yes</x:v>
      </x:c>
      <x:c r="D5" s="28" t="str">
        <x:v>Weighted coursework performance normalized to 100% regardless of whether coursework totals 40%, 50%, 60%, etc.</x:v>
      </x:c>
    </x:row>
    <x:row r="6">
      <x:c r="A6" s="28" t="str">
        <x:v>Assessment Average %</x:v>
      </x:c>
      <x:c r="B6" s="28" t="str">
        <x:v>Feature</x:v>
      </x:c>
      <x:c r="C6" s="28" t="str">
        <x:v>Yes</x:v>
      </x:c>
      <x:c r="D6" s="28" t="str">
        <x:v>Average normalized performance across all available coursework assessments</x:v>
      </x:c>
    </x:row>
    <x:row r="7">
      <x:c r="A7" s="28" t="str">
        <x:v>Lowest Assessment Score %</x:v>
      </x:c>
      <x:c r="B7" s="28" t="str">
        <x:v>Feature</x:v>
      </x:c>
      <x:c r="C7" s="28" t="str">
        <x:v>Yes</x:v>
      </x:c>
      <x:c r="D7" s="28" t="str">
        <x:v>Lowest normalized assessment performance</x:v>
      </x:c>
    </x:row>
    <x:row r="8">
      <x:c r="A8" s="28" t="str">
        <x:v>Assessment Score Std Dev %</x:v>
      </x:c>
      <x:c r="B8" s="28" t="str">
        <x:v>Feature</x:v>
      </x:c>
      <x:c r="C8" s="28" t="str">
        <x:v>Yes</x:v>
      </x:c>
      <x:c r="D8" s="28" t="str">
        <x:v>Variation across assessment performances</x:v>
      </x:c>
    </x:row>
    <x:row r="9">
      <x:c r="A9" s="28" t="str">
        <x:v>Average Chapter Score %</x:v>
      </x:c>
      <x:c r="B9" s="28" t="str">
        <x:v>Feature</x:v>
      </x:c>
      <x:c r="C9" s="28" t="str">
        <x:v>Yes</x:v>
      </x:c>
      <x:c r="D9" s="28" t="str">
        <x:v>Average performance across all mapped chapters</x:v>
      </x:c>
    </x:row>
    <x:row r="10">
      <x:c r="A10" s="28" t="str">
        <x:v>Lowest Chapter Score %</x:v>
      </x:c>
      <x:c r="B10" s="28" t="str">
        <x:v>Feature</x:v>
      </x:c>
      <x:c r="C10" s="28" t="str">
        <x:v>Yes</x:v>
      </x:c>
      <x:c r="D10" s="28" t="str">
        <x:v>Weakest chapter performance</x:v>
      </x:c>
    </x:row>
    <x:row r="11">
      <x:c r="A11" s="28" t="str">
        <x:v>Weak Chapter Ratio %</x:v>
      </x:c>
      <x:c r="B11" s="28" t="str">
        <x:v>Feature</x:v>
      </x:c>
      <x:c r="C11" s="28" t="str">
        <x:v>Yes</x:v>
      </x:c>
      <x:c r="D11" s="28" t="str">
        <x:v>Percentage of mapped chapters below 50%</x:v>
      </x:c>
    </x:row>
    <x:row r="12">
      <x:c r="A12" s="28" t="str">
        <x:v>Chapter Score Std Dev %</x:v>
      </x:c>
      <x:c r="B12" s="28" t="str">
        <x:v>Feature</x:v>
      </x:c>
      <x:c r="C12" s="28" t="str">
        <x:v>Yes</x:v>
      </x:c>
      <x:c r="D12" s="28" t="str">
        <x:v>Variation across chapter performances</x:v>
      </x:c>
    </x:row>
    <x:row r="13">
      <x:c r="A13" s="28" t="str">
        <x:v>Risk Level</x:v>
      </x:c>
      <x:c r="B13" s="28" t="str">
        <x:v>Target</x:v>
      </x:c>
      <x:c r="C13" s="28" t="str">
        <x:v>Target y</x:v>
      </x:c>
      <x:c r="D13" s="28" t="str">
        <x:v>Low / Medium / High class to be predicted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</x:cols>
  <x:sheetData>
    <x:row r="1">
      <x:c r="A1" s="5" t="str">
        <x:v>Risk Distribution</x:v>
      </x:c>
      <x:c r="B1" s="5"/>
      <x:c r="C1" s="5"/>
    </x:row>
    <x:row r="3">
      <x:c r="A3" s="19" t="str">
        <x:v>Risk Level</x:v>
      </x:c>
      <x:c r="B3" s="19" t="str">
        <x:v>Students</x:v>
      </x:c>
      <x:c r="C3" s="19" t="str">
        <x:v>Percentage</x:v>
      </x:c>
    </x:row>
    <x:row r="4">
      <x:c r="A4" t="str">
        <x:v>Low</x:v>
      </x:c>
      <x:c r="B4" t="n">
        <x:f>COUNTIF('ML Dataset'!$N$4:$N$503,"Low")</x:f>
        <x:v>206</x:v>
      </x:c>
      <x:c r="C4" s="30" t="n">
        <x:f>B4/500</x:f>
        <x:v>0.412</x:v>
      </x:c>
    </x:row>
    <x:row r="5">
      <x:c r="A5" t="str">
        <x:v>Medium</x:v>
      </x:c>
      <x:c r="B5" t="n">
        <x:f>COUNTIF('ML Dataset'!$N$4:$N$503,"Medium")</x:f>
        <x:v>179</x:v>
      </x:c>
      <x:c r="C5" s="30" t="n">
        <x:f>B5/500</x:f>
        <x:v>0.358</x:v>
      </x:c>
    </x:row>
    <x:row r="6">
      <x:c r="A6" t="str">
        <x:v>High</x:v>
      </x:c>
      <x:c r="B6" t="n">
        <x:f>COUNTIF('ML Dataset'!$N$4:$N$503,"High")</x:f>
        <x:v>115</x:v>
      </x:c>
      <x:c r="C6" s="30" t="n">
        <x:f>B6/500</x:f>
        <x:v>0.23</x:v>
      </x:c>
    </x:row>
    <x:row r="8">
      <x:c r="A8" s="32" t="str">
        <x:v>Total Records</x:v>
      </x:c>
      <x:c r="B8" t="n">
        <x:v>500</x:v>
      </x:c>
    </x:row>
    <x:row r="9">
      <x:c r="A9" s="32" t="str">
        <x:v>Training Set</x:v>
      </x:c>
      <x:c r="B9" t="str">
        <x:v>80% = 400</x:v>
      </x:c>
    </x:row>
    <x:row r="10">
      <x:c r="A10" s="32" t="str">
        <x:v>Test Set</x:v>
      </x:c>
      <x:c r="B10" t="str">
        <x:v>20% = 100</x:v>
      </x:c>
    </x:row>
  </x:sheetData>
  <x:mergeCells>
    <x:mergeCell ref="A1:C1"/>
  </x:mergeCells>
  <x:pageMargins left="0.7" right="0.7" top="0.75" bottom="0.75" header="0.3" footer="0.3"/>
</x:worksheet>
</file>