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Users\NUR'AIN FARISYA\Pictures\Download\"/>
    </mc:Choice>
  </mc:AlternateContent>
  <xr:revisionPtr revIDLastSave="0" documentId="13_ncr:1_{F622CEA7-DC21-4346-AD18-3AEA1FD5E3AD}" xr6:coauthVersionLast="47" xr6:coauthVersionMax="47" xr10:uidLastSave="{00000000-0000-0000-0000-000000000000}"/>
  <bookViews>
    <workbookView xWindow="-108" yWindow="-108" windowWidth="23256" windowHeight="13176" xr2:uid="{00000000-000D-0000-FFFF-FFFF00000000}"/>
  </bookViews>
  <sheets>
    <sheet name="Assessment Structure" sheetId="1" r:id="rId1"/>
    <sheet name="Student Marks" sheetId="2" r:id="rId2"/>
    <sheet name="Question-Chapter Mapping" sheetId="3" r:id="rId3"/>
  </sheets>
  <calcPr calcId="191029"/>
</workbook>
</file>

<file path=xl/calcChain.xml><?xml version="1.0" encoding="utf-8"?>
<calcChain xmlns="http://schemas.openxmlformats.org/spreadsheetml/2006/main">
  <c r="F100" i="3" l="1"/>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V104" i="2"/>
  <c r="U104" i="2"/>
  <c r="T104" i="2"/>
  <c r="S104" i="2"/>
  <c r="R104" i="2"/>
  <c r="Q104" i="2"/>
  <c r="P104" i="2"/>
  <c r="O104" i="2"/>
  <c r="V103" i="2"/>
  <c r="U103" i="2"/>
  <c r="T103" i="2"/>
  <c r="S103" i="2"/>
  <c r="R103" i="2"/>
  <c r="Q103" i="2"/>
  <c r="P103" i="2"/>
  <c r="O103" i="2"/>
  <c r="V102" i="2"/>
  <c r="U102" i="2"/>
  <c r="T102" i="2"/>
  <c r="S102" i="2"/>
  <c r="R102" i="2"/>
  <c r="Q102" i="2"/>
  <c r="P102" i="2"/>
  <c r="O102" i="2"/>
  <c r="V101" i="2"/>
  <c r="U101" i="2"/>
  <c r="T101" i="2"/>
  <c r="S101" i="2"/>
  <c r="R101" i="2"/>
  <c r="Q101" i="2"/>
  <c r="P101" i="2"/>
  <c r="O101" i="2"/>
  <c r="V100" i="2"/>
  <c r="U100" i="2"/>
  <c r="T100" i="2"/>
  <c r="S100" i="2"/>
  <c r="R100" i="2"/>
  <c r="Q100" i="2"/>
  <c r="P100" i="2"/>
  <c r="O100" i="2"/>
  <c r="V99" i="2"/>
  <c r="U99" i="2"/>
  <c r="T99" i="2"/>
  <c r="S99" i="2"/>
  <c r="R99" i="2"/>
  <c r="Q99" i="2"/>
  <c r="P99" i="2"/>
  <c r="O99" i="2"/>
  <c r="V98" i="2"/>
  <c r="U98" i="2"/>
  <c r="T98" i="2"/>
  <c r="S98" i="2"/>
  <c r="R98" i="2"/>
  <c r="Q98" i="2"/>
  <c r="P98" i="2"/>
  <c r="O98" i="2"/>
  <c r="V97" i="2"/>
  <c r="U97" i="2"/>
  <c r="T97" i="2"/>
  <c r="S97" i="2"/>
  <c r="R97" i="2"/>
  <c r="Q97" i="2"/>
  <c r="P97" i="2"/>
  <c r="O97" i="2"/>
  <c r="V96" i="2"/>
  <c r="U96" i="2"/>
  <c r="T96" i="2"/>
  <c r="S96" i="2"/>
  <c r="R96" i="2"/>
  <c r="Q96" i="2"/>
  <c r="P96" i="2"/>
  <c r="O96" i="2"/>
  <c r="V95" i="2"/>
  <c r="U95" i="2"/>
  <c r="T95" i="2"/>
  <c r="S95" i="2"/>
  <c r="R95" i="2"/>
  <c r="Q95" i="2"/>
  <c r="P95" i="2"/>
  <c r="O95" i="2"/>
  <c r="V94" i="2"/>
  <c r="U94" i="2"/>
  <c r="T94" i="2"/>
  <c r="S94" i="2"/>
  <c r="R94" i="2"/>
  <c r="Q94" i="2"/>
  <c r="P94" i="2"/>
  <c r="O94" i="2"/>
  <c r="V93" i="2"/>
  <c r="U93" i="2"/>
  <c r="T93" i="2"/>
  <c r="S93" i="2"/>
  <c r="R93" i="2"/>
  <c r="Q93" i="2"/>
  <c r="P93" i="2"/>
  <c r="O93" i="2"/>
  <c r="V92" i="2"/>
  <c r="U92" i="2"/>
  <c r="T92" i="2"/>
  <c r="S92" i="2"/>
  <c r="R92" i="2"/>
  <c r="Q92" i="2"/>
  <c r="P92" i="2"/>
  <c r="O92" i="2"/>
  <c r="V91" i="2"/>
  <c r="U91" i="2"/>
  <c r="T91" i="2"/>
  <c r="S91" i="2"/>
  <c r="R91" i="2"/>
  <c r="Q91" i="2"/>
  <c r="P91" i="2"/>
  <c r="O91" i="2"/>
  <c r="V90" i="2"/>
  <c r="U90" i="2"/>
  <c r="T90" i="2"/>
  <c r="S90" i="2"/>
  <c r="R90" i="2"/>
  <c r="Q90" i="2"/>
  <c r="P90" i="2"/>
  <c r="O90" i="2"/>
  <c r="V89" i="2"/>
  <c r="U89" i="2"/>
  <c r="T89" i="2"/>
  <c r="S89" i="2"/>
  <c r="R89" i="2"/>
  <c r="Q89" i="2"/>
  <c r="P89" i="2"/>
  <c r="O89" i="2"/>
  <c r="V88" i="2"/>
  <c r="U88" i="2"/>
  <c r="T88" i="2"/>
  <c r="S88" i="2"/>
  <c r="R88" i="2"/>
  <c r="Q88" i="2"/>
  <c r="P88" i="2"/>
  <c r="O88" i="2"/>
  <c r="V87" i="2"/>
  <c r="U87" i="2"/>
  <c r="T87" i="2"/>
  <c r="S87" i="2"/>
  <c r="R87" i="2"/>
  <c r="Q87" i="2"/>
  <c r="P87" i="2"/>
  <c r="O87" i="2"/>
  <c r="V86" i="2"/>
  <c r="U86" i="2"/>
  <c r="T86" i="2"/>
  <c r="S86" i="2"/>
  <c r="R86" i="2"/>
  <c r="Q86" i="2"/>
  <c r="P86" i="2"/>
  <c r="O86" i="2"/>
  <c r="V85" i="2"/>
  <c r="U85" i="2"/>
  <c r="T85" i="2"/>
  <c r="S85" i="2"/>
  <c r="R85" i="2"/>
  <c r="Q85" i="2"/>
  <c r="P85" i="2"/>
  <c r="O85" i="2"/>
  <c r="V84" i="2"/>
  <c r="U84" i="2"/>
  <c r="T84" i="2"/>
  <c r="S84" i="2"/>
  <c r="R84" i="2"/>
  <c r="Q84" i="2"/>
  <c r="P84" i="2"/>
  <c r="O84" i="2"/>
  <c r="V83" i="2"/>
  <c r="U83" i="2"/>
  <c r="T83" i="2"/>
  <c r="S83" i="2"/>
  <c r="R83" i="2"/>
  <c r="Q83" i="2"/>
  <c r="P83" i="2"/>
  <c r="O83" i="2"/>
  <c r="V82" i="2"/>
  <c r="U82" i="2"/>
  <c r="T82" i="2"/>
  <c r="S82" i="2"/>
  <c r="R82" i="2"/>
  <c r="Q82" i="2"/>
  <c r="P82" i="2"/>
  <c r="O82" i="2"/>
  <c r="V81" i="2"/>
  <c r="U81" i="2"/>
  <c r="T81" i="2"/>
  <c r="S81" i="2"/>
  <c r="R81" i="2"/>
  <c r="Q81" i="2"/>
  <c r="P81" i="2"/>
  <c r="O81" i="2"/>
  <c r="V80" i="2"/>
  <c r="U80" i="2"/>
  <c r="T80" i="2"/>
  <c r="S80" i="2"/>
  <c r="R80" i="2"/>
  <c r="Q80" i="2"/>
  <c r="P80" i="2"/>
  <c r="O80" i="2"/>
  <c r="V79" i="2"/>
  <c r="U79" i="2"/>
  <c r="T79" i="2"/>
  <c r="S79" i="2"/>
  <c r="R79" i="2"/>
  <c r="Q79" i="2"/>
  <c r="P79" i="2"/>
  <c r="O79" i="2"/>
  <c r="V78" i="2"/>
  <c r="U78" i="2"/>
  <c r="T78" i="2"/>
  <c r="S78" i="2"/>
  <c r="R78" i="2"/>
  <c r="Q78" i="2"/>
  <c r="P78" i="2"/>
  <c r="O78" i="2"/>
  <c r="V77" i="2"/>
  <c r="U77" i="2"/>
  <c r="T77" i="2"/>
  <c r="S77" i="2"/>
  <c r="R77" i="2"/>
  <c r="Q77" i="2"/>
  <c r="P77" i="2"/>
  <c r="O77" i="2"/>
  <c r="V76" i="2"/>
  <c r="U76" i="2"/>
  <c r="T76" i="2"/>
  <c r="S76" i="2"/>
  <c r="R76" i="2"/>
  <c r="Q76" i="2"/>
  <c r="P76" i="2"/>
  <c r="O76" i="2"/>
  <c r="V75" i="2"/>
  <c r="U75" i="2"/>
  <c r="T75" i="2"/>
  <c r="S75" i="2"/>
  <c r="R75" i="2"/>
  <c r="Q75" i="2"/>
  <c r="P75" i="2"/>
  <c r="O75" i="2"/>
  <c r="V74" i="2"/>
  <c r="U74" i="2"/>
  <c r="T74" i="2"/>
  <c r="S74" i="2"/>
  <c r="R74" i="2"/>
  <c r="Q74" i="2"/>
  <c r="P74" i="2"/>
  <c r="O74" i="2"/>
  <c r="V73" i="2"/>
  <c r="U73" i="2"/>
  <c r="T73" i="2"/>
  <c r="S73" i="2"/>
  <c r="R73" i="2"/>
  <c r="Q73" i="2"/>
  <c r="P73" i="2"/>
  <c r="O73" i="2"/>
  <c r="V72" i="2"/>
  <c r="U72" i="2"/>
  <c r="T72" i="2"/>
  <c r="S72" i="2"/>
  <c r="R72" i="2"/>
  <c r="Q72" i="2"/>
  <c r="P72" i="2"/>
  <c r="O72" i="2"/>
  <c r="V71" i="2"/>
  <c r="U71" i="2"/>
  <c r="T71" i="2"/>
  <c r="S71" i="2"/>
  <c r="R71" i="2"/>
  <c r="Q71" i="2"/>
  <c r="P71" i="2"/>
  <c r="O71" i="2"/>
  <c r="V70" i="2"/>
  <c r="U70" i="2"/>
  <c r="T70" i="2"/>
  <c r="S70" i="2"/>
  <c r="R70" i="2"/>
  <c r="Q70" i="2"/>
  <c r="P70" i="2"/>
  <c r="O70" i="2"/>
  <c r="V69" i="2"/>
  <c r="U69" i="2"/>
  <c r="T69" i="2"/>
  <c r="S69" i="2"/>
  <c r="R69" i="2"/>
  <c r="Q69" i="2"/>
  <c r="P69" i="2"/>
  <c r="O69" i="2"/>
  <c r="V68" i="2"/>
  <c r="U68" i="2"/>
  <c r="T68" i="2"/>
  <c r="S68" i="2"/>
  <c r="R68" i="2"/>
  <c r="Q68" i="2"/>
  <c r="P68" i="2"/>
  <c r="O68" i="2"/>
  <c r="V67" i="2"/>
  <c r="U67" i="2"/>
  <c r="T67" i="2"/>
  <c r="S67" i="2"/>
  <c r="R67" i="2"/>
  <c r="Q67" i="2"/>
  <c r="P67" i="2"/>
  <c r="O67" i="2"/>
  <c r="V66" i="2"/>
  <c r="U66" i="2"/>
  <c r="T66" i="2"/>
  <c r="S66" i="2"/>
  <c r="R66" i="2"/>
  <c r="Q66" i="2"/>
  <c r="P66" i="2"/>
  <c r="O66" i="2"/>
  <c r="V65" i="2"/>
  <c r="U65" i="2"/>
  <c r="T65" i="2"/>
  <c r="S65" i="2"/>
  <c r="R65" i="2"/>
  <c r="Q65" i="2"/>
  <c r="P65" i="2"/>
  <c r="O65" i="2"/>
  <c r="V64" i="2"/>
  <c r="U64" i="2"/>
  <c r="T64" i="2"/>
  <c r="S64" i="2"/>
  <c r="R64" i="2"/>
  <c r="Q64" i="2"/>
  <c r="P64" i="2"/>
  <c r="O64" i="2"/>
  <c r="V63" i="2"/>
  <c r="U63" i="2"/>
  <c r="T63" i="2"/>
  <c r="S63" i="2"/>
  <c r="R63" i="2"/>
  <c r="Q63" i="2"/>
  <c r="P63" i="2"/>
  <c r="O63" i="2"/>
  <c r="V62" i="2"/>
  <c r="U62" i="2"/>
  <c r="T62" i="2"/>
  <c r="S62" i="2"/>
  <c r="R62" i="2"/>
  <c r="Q62" i="2"/>
  <c r="P62" i="2"/>
  <c r="O62" i="2"/>
  <c r="V61" i="2"/>
  <c r="U61" i="2"/>
  <c r="T61" i="2"/>
  <c r="S61" i="2"/>
  <c r="R61" i="2"/>
  <c r="Q61" i="2"/>
  <c r="P61" i="2"/>
  <c r="O61" i="2"/>
  <c r="V60" i="2"/>
  <c r="U60" i="2"/>
  <c r="T60" i="2"/>
  <c r="S60" i="2"/>
  <c r="R60" i="2"/>
  <c r="Q60" i="2"/>
  <c r="P60" i="2"/>
  <c r="O60" i="2"/>
  <c r="V59" i="2"/>
  <c r="U59" i="2"/>
  <c r="T59" i="2"/>
  <c r="S59" i="2"/>
  <c r="R59" i="2"/>
  <c r="Q59" i="2"/>
  <c r="P59" i="2"/>
  <c r="O59" i="2"/>
  <c r="V58" i="2"/>
  <c r="U58" i="2"/>
  <c r="T58" i="2"/>
  <c r="S58" i="2"/>
  <c r="R58" i="2"/>
  <c r="Q58" i="2"/>
  <c r="P58" i="2"/>
  <c r="O58" i="2"/>
  <c r="V57" i="2"/>
  <c r="U57" i="2"/>
  <c r="T57" i="2"/>
  <c r="S57" i="2"/>
  <c r="R57" i="2"/>
  <c r="Q57" i="2"/>
  <c r="P57" i="2"/>
  <c r="O57" i="2"/>
  <c r="V56" i="2"/>
  <c r="U56" i="2"/>
  <c r="T56" i="2"/>
  <c r="S56" i="2"/>
  <c r="R56" i="2"/>
  <c r="Q56" i="2"/>
  <c r="P56" i="2"/>
  <c r="O56" i="2"/>
  <c r="V55" i="2"/>
  <c r="U55" i="2"/>
  <c r="T55" i="2"/>
  <c r="S55" i="2"/>
  <c r="R55" i="2"/>
  <c r="Q55" i="2"/>
  <c r="P55" i="2"/>
  <c r="O55" i="2"/>
  <c r="V54" i="2"/>
  <c r="U54" i="2"/>
  <c r="T54" i="2"/>
  <c r="S54" i="2"/>
  <c r="R54" i="2"/>
  <c r="Q54" i="2"/>
  <c r="P54" i="2"/>
  <c r="O54" i="2"/>
  <c r="V53" i="2"/>
  <c r="U53" i="2"/>
  <c r="T53" i="2"/>
  <c r="S53" i="2"/>
  <c r="R53" i="2"/>
  <c r="Q53" i="2"/>
  <c r="P53" i="2"/>
  <c r="O53" i="2"/>
  <c r="V52" i="2"/>
  <c r="U52" i="2"/>
  <c r="T52" i="2"/>
  <c r="S52" i="2"/>
  <c r="R52" i="2"/>
  <c r="Q52" i="2"/>
  <c r="P52" i="2"/>
  <c r="O52" i="2"/>
  <c r="V51" i="2"/>
  <c r="U51" i="2"/>
  <c r="T51" i="2"/>
  <c r="S51" i="2"/>
  <c r="R51" i="2"/>
  <c r="Q51" i="2"/>
  <c r="P51" i="2"/>
  <c r="O51" i="2"/>
  <c r="V50" i="2"/>
  <c r="U50" i="2"/>
  <c r="T50" i="2"/>
  <c r="S50" i="2"/>
  <c r="R50" i="2"/>
  <c r="Q50" i="2"/>
  <c r="P50" i="2"/>
  <c r="O50" i="2"/>
  <c r="V49" i="2"/>
  <c r="U49" i="2"/>
  <c r="T49" i="2"/>
  <c r="S49" i="2"/>
  <c r="R49" i="2"/>
  <c r="Q49" i="2"/>
  <c r="P49" i="2"/>
  <c r="O49" i="2"/>
  <c r="V48" i="2"/>
  <c r="U48" i="2"/>
  <c r="T48" i="2"/>
  <c r="S48" i="2"/>
  <c r="R48" i="2"/>
  <c r="Q48" i="2"/>
  <c r="P48" i="2"/>
  <c r="O48" i="2"/>
  <c r="V47" i="2"/>
  <c r="U47" i="2"/>
  <c r="T47" i="2"/>
  <c r="S47" i="2"/>
  <c r="R47" i="2"/>
  <c r="Q47" i="2"/>
  <c r="P47" i="2"/>
  <c r="O47" i="2"/>
  <c r="V46" i="2"/>
  <c r="U46" i="2"/>
  <c r="T46" i="2"/>
  <c r="S46" i="2"/>
  <c r="R46" i="2"/>
  <c r="Q46" i="2"/>
  <c r="P46" i="2"/>
  <c r="O46" i="2"/>
  <c r="V45" i="2"/>
  <c r="U45" i="2"/>
  <c r="T45" i="2"/>
  <c r="S45" i="2"/>
  <c r="R45" i="2"/>
  <c r="Q45" i="2"/>
  <c r="P45" i="2"/>
  <c r="O45" i="2"/>
  <c r="V44" i="2"/>
  <c r="U44" i="2"/>
  <c r="T44" i="2"/>
  <c r="S44" i="2"/>
  <c r="R44" i="2"/>
  <c r="Q44" i="2"/>
  <c r="P44" i="2"/>
  <c r="O44" i="2"/>
  <c r="V43" i="2"/>
  <c r="U43" i="2"/>
  <c r="T43" i="2"/>
  <c r="S43" i="2"/>
  <c r="R43" i="2"/>
  <c r="Q43" i="2"/>
  <c r="P43" i="2"/>
  <c r="O43" i="2"/>
  <c r="V42" i="2"/>
  <c r="U42" i="2"/>
  <c r="T42" i="2"/>
  <c r="S42" i="2"/>
  <c r="R42" i="2"/>
  <c r="Q42" i="2"/>
  <c r="P42" i="2"/>
  <c r="O42" i="2"/>
  <c r="V41" i="2"/>
  <c r="U41" i="2"/>
  <c r="T41" i="2"/>
  <c r="S41" i="2"/>
  <c r="R41" i="2"/>
  <c r="Q41" i="2"/>
  <c r="P41" i="2"/>
  <c r="O41" i="2"/>
  <c r="V40" i="2"/>
  <c r="U40" i="2"/>
  <c r="T40" i="2"/>
  <c r="S40" i="2"/>
  <c r="R40" i="2"/>
  <c r="Q40" i="2"/>
  <c r="P40" i="2"/>
  <c r="O40" i="2"/>
  <c r="V39" i="2"/>
  <c r="U39" i="2"/>
  <c r="T39" i="2"/>
  <c r="S39" i="2"/>
  <c r="R39" i="2"/>
  <c r="Q39" i="2"/>
  <c r="P39" i="2"/>
  <c r="O39" i="2"/>
  <c r="V38" i="2"/>
  <c r="U38" i="2"/>
  <c r="T38" i="2"/>
  <c r="S38" i="2"/>
  <c r="R38" i="2"/>
  <c r="Q38" i="2"/>
  <c r="P38" i="2"/>
  <c r="O38" i="2"/>
  <c r="V37" i="2"/>
  <c r="U37" i="2"/>
  <c r="T37" i="2"/>
  <c r="S37" i="2"/>
  <c r="R37" i="2"/>
  <c r="Q37" i="2"/>
  <c r="P37" i="2"/>
  <c r="O37" i="2"/>
  <c r="V36" i="2"/>
  <c r="U36" i="2"/>
  <c r="T36" i="2"/>
  <c r="S36" i="2"/>
  <c r="R36" i="2"/>
  <c r="Q36" i="2"/>
  <c r="P36" i="2"/>
  <c r="O36" i="2"/>
  <c r="V35" i="2"/>
  <c r="U35" i="2"/>
  <c r="T35" i="2"/>
  <c r="S35" i="2"/>
  <c r="R35" i="2"/>
  <c r="Q35" i="2"/>
  <c r="P35" i="2"/>
  <c r="O35" i="2"/>
  <c r="V34" i="2"/>
  <c r="U34" i="2"/>
  <c r="T34" i="2"/>
  <c r="S34" i="2"/>
  <c r="R34" i="2"/>
  <c r="Q34" i="2"/>
  <c r="P34" i="2"/>
  <c r="O34" i="2"/>
  <c r="V33" i="2"/>
  <c r="U33" i="2"/>
  <c r="T33" i="2"/>
  <c r="S33" i="2"/>
  <c r="R33" i="2"/>
  <c r="Q33" i="2"/>
  <c r="P33" i="2"/>
  <c r="O33" i="2"/>
  <c r="V32" i="2"/>
  <c r="U32" i="2"/>
  <c r="T32" i="2"/>
  <c r="S32" i="2"/>
  <c r="R32" i="2"/>
  <c r="Q32" i="2"/>
  <c r="P32" i="2"/>
  <c r="O32" i="2"/>
  <c r="V31" i="2"/>
  <c r="U31" i="2"/>
  <c r="T31" i="2"/>
  <c r="S31" i="2"/>
  <c r="R31" i="2"/>
  <c r="Q31" i="2"/>
  <c r="P31" i="2"/>
  <c r="O31" i="2"/>
  <c r="V30" i="2"/>
  <c r="U30" i="2"/>
  <c r="T30" i="2"/>
  <c r="S30" i="2"/>
  <c r="R30" i="2"/>
  <c r="Q30" i="2"/>
  <c r="P30" i="2"/>
  <c r="O30" i="2"/>
  <c r="V29" i="2"/>
  <c r="U29" i="2"/>
  <c r="T29" i="2"/>
  <c r="S29" i="2"/>
  <c r="R29" i="2"/>
  <c r="Q29" i="2"/>
  <c r="P29" i="2"/>
  <c r="O29" i="2"/>
  <c r="V28" i="2"/>
  <c r="U28" i="2"/>
  <c r="T28" i="2"/>
  <c r="S28" i="2"/>
  <c r="R28" i="2"/>
  <c r="Q28" i="2"/>
  <c r="P28" i="2"/>
  <c r="O28" i="2"/>
  <c r="V27" i="2"/>
  <c r="U27" i="2"/>
  <c r="T27" i="2"/>
  <c r="S27" i="2"/>
  <c r="R27" i="2"/>
  <c r="Q27" i="2"/>
  <c r="P27" i="2"/>
  <c r="O27" i="2"/>
  <c r="V26" i="2"/>
  <c r="U26" i="2"/>
  <c r="T26" i="2"/>
  <c r="S26" i="2"/>
  <c r="R26" i="2"/>
  <c r="Q26" i="2"/>
  <c r="P26" i="2"/>
  <c r="O26" i="2"/>
  <c r="V25" i="2"/>
  <c r="U25" i="2"/>
  <c r="T25" i="2"/>
  <c r="S25" i="2"/>
  <c r="R25" i="2"/>
  <c r="Q25" i="2"/>
  <c r="P25" i="2"/>
  <c r="O25" i="2"/>
  <c r="V24" i="2"/>
  <c r="U24" i="2"/>
  <c r="T24" i="2"/>
  <c r="S24" i="2"/>
  <c r="R24" i="2"/>
  <c r="Q24" i="2"/>
  <c r="P24" i="2"/>
  <c r="O24" i="2"/>
  <c r="V23" i="2"/>
  <c r="U23" i="2"/>
  <c r="T23" i="2"/>
  <c r="S23" i="2"/>
  <c r="R23" i="2"/>
  <c r="Q23" i="2"/>
  <c r="P23" i="2"/>
  <c r="O23" i="2"/>
  <c r="V22" i="2"/>
  <c r="U22" i="2"/>
  <c r="T22" i="2"/>
  <c r="S22" i="2"/>
  <c r="R22" i="2"/>
  <c r="Q22" i="2"/>
  <c r="P22" i="2"/>
  <c r="O22" i="2"/>
  <c r="V21" i="2"/>
  <c r="U21" i="2"/>
  <c r="T21" i="2"/>
  <c r="S21" i="2"/>
  <c r="R21" i="2"/>
  <c r="Q21" i="2"/>
  <c r="P21" i="2"/>
  <c r="O21" i="2"/>
  <c r="V20" i="2"/>
  <c r="U20" i="2"/>
  <c r="T20" i="2"/>
  <c r="S20" i="2"/>
  <c r="R20" i="2"/>
  <c r="Q20" i="2"/>
  <c r="P20" i="2"/>
  <c r="O20" i="2"/>
  <c r="V19" i="2"/>
  <c r="U19" i="2"/>
  <c r="T19" i="2"/>
  <c r="S19" i="2"/>
  <c r="R19" i="2"/>
  <c r="Q19" i="2"/>
  <c r="P19" i="2"/>
  <c r="O19" i="2"/>
  <c r="V18" i="2"/>
  <c r="U18" i="2"/>
  <c r="T18" i="2"/>
  <c r="S18" i="2"/>
  <c r="R18" i="2"/>
  <c r="Q18" i="2"/>
  <c r="P18" i="2"/>
  <c r="O18" i="2"/>
  <c r="V17" i="2"/>
  <c r="U17" i="2"/>
  <c r="T17" i="2"/>
  <c r="S17" i="2"/>
  <c r="R17" i="2"/>
  <c r="Q17" i="2"/>
  <c r="P17" i="2"/>
  <c r="O17" i="2"/>
  <c r="V16" i="2"/>
  <c r="U16" i="2"/>
  <c r="T16" i="2"/>
  <c r="S16" i="2"/>
  <c r="R16" i="2"/>
  <c r="Q16" i="2"/>
  <c r="P16" i="2"/>
  <c r="O16" i="2"/>
  <c r="V15" i="2"/>
  <c r="U15" i="2"/>
  <c r="T15" i="2"/>
  <c r="S15" i="2"/>
  <c r="R15" i="2"/>
  <c r="Q15" i="2"/>
  <c r="P15" i="2"/>
  <c r="O15" i="2"/>
  <c r="V14" i="2"/>
  <c r="U14" i="2"/>
  <c r="T14" i="2"/>
  <c r="S14" i="2"/>
  <c r="R14" i="2"/>
  <c r="Q14" i="2"/>
  <c r="P14" i="2"/>
  <c r="O14" i="2"/>
  <c r="V13" i="2"/>
  <c r="U13" i="2"/>
  <c r="T13" i="2"/>
  <c r="S13" i="2"/>
  <c r="R13" i="2"/>
  <c r="Q13" i="2"/>
  <c r="P13" i="2"/>
  <c r="O13" i="2"/>
  <c r="V12" i="2"/>
  <c r="U12" i="2"/>
  <c r="T12" i="2"/>
  <c r="S12" i="2"/>
  <c r="R12" i="2"/>
  <c r="Q12" i="2"/>
  <c r="P12" i="2"/>
  <c r="O12" i="2"/>
  <c r="V11" i="2"/>
  <c r="U11" i="2"/>
  <c r="T11" i="2"/>
  <c r="S11" i="2"/>
  <c r="R11" i="2"/>
  <c r="Q11" i="2"/>
  <c r="P11" i="2"/>
  <c r="O11" i="2"/>
  <c r="V10" i="2"/>
  <c r="U10" i="2"/>
  <c r="T10" i="2"/>
  <c r="S10" i="2"/>
  <c r="R10" i="2"/>
  <c r="Q10" i="2"/>
  <c r="P10" i="2"/>
  <c r="O10" i="2"/>
  <c r="V9" i="2"/>
  <c r="U9" i="2"/>
  <c r="T9" i="2"/>
  <c r="S9" i="2"/>
  <c r="R9" i="2"/>
  <c r="Q9" i="2"/>
  <c r="P9" i="2"/>
  <c r="O9" i="2"/>
  <c r="V8" i="2"/>
  <c r="U8" i="2"/>
  <c r="T8" i="2"/>
  <c r="S8" i="2"/>
  <c r="R8" i="2"/>
  <c r="Q8" i="2"/>
  <c r="P8" i="2"/>
  <c r="O8" i="2"/>
  <c r="V7" i="2"/>
  <c r="U7" i="2"/>
  <c r="T7" i="2"/>
  <c r="S7" i="2"/>
  <c r="R7" i="2"/>
  <c r="Q7" i="2"/>
  <c r="P7" i="2"/>
  <c r="O7" i="2"/>
  <c r="T6" i="2"/>
  <c r="S6" i="2"/>
  <c r="R6" i="2"/>
  <c r="Q6" i="2"/>
  <c r="P6" i="2"/>
  <c r="O6" i="2"/>
  <c r="T5" i="2"/>
  <c r="S5" i="2"/>
  <c r="R5" i="2"/>
  <c r="Q5" i="2"/>
  <c r="P5" i="2"/>
  <c r="O5" i="2"/>
  <c r="G5" i="1"/>
  <c r="G6" i="1" s="1"/>
  <c r="G4" i="1"/>
  <c r="G7" i="1" s="1"/>
  <c r="U6" i="2" l="1"/>
  <c r="V6" i="2" s="1"/>
  <c r="U5" i="2"/>
  <c r="V5" i="2" s="1"/>
</calcChain>
</file>

<file path=xl/sharedStrings.xml><?xml version="1.0" encoding="utf-8"?>
<sst xmlns="http://schemas.openxmlformats.org/spreadsheetml/2006/main" count="106" uniqueCount="72">
  <si>
    <t>Component</t>
  </si>
  <si>
    <t>Component Weightage (%)</t>
  </si>
  <si>
    <t>Formula / Check</t>
  </si>
  <si>
    <t>Result</t>
  </si>
  <si>
    <t>Coursework</t>
  </si>
  <si>
    <t>Total component weight</t>
  </si>
  <si>
    <t>Final Exam</t>
  </si>
  <si>
    <t>Total coursework assessment weight</t>
  </si>
  <si>
    <t>Total</t>
  </si>
  <si>
    <t>Coursework weight matches component?</t>
  </si>
  <si>
    <t>Expected upload status</t>
  </si>
  <si>
    <t>Assessment</t>
  </si>
  <si>
    <t>Assessment Type</t>
  </si>
  <si>
    <t>Assessment Weightage (%)</t>
  </si>
  <si>
    <t>Full Marks</t>
  </si>
  <si>
    <t>Question-Level Chapter Mapping?</t>
  </si>
  <si>
    <t>Test 1</t>
  </si>
  <si>
    <t>Test</t>
  </si>
  <si>
    <t>Yes</t>
  </si>
  <si>
    <t>Test 2</t>
  </si>
  <si>
    <t>Quiz 1</t>
  </si>
  <si>
    <t>Quiz</t>
  </si>
  <si>
    <t>No</t>
  </si>
  <si>
    <t>Quiz 2</t>
  </si>
  <si>
    <t>Assignment</t>
  </si>
  <si>
    <t>Project</t>
  </si>
  <si>
    <t>Column Name</t>
  </si>
  <si>
    <t>Question</t>
  </si>
  <si>
    <t>Chapter</t>
  </si>
  <si>
    <t>Mapping Check</t>
  </si>
  <si>
    <t>TEST1_Q1</t>
  </si>
  <si>
    <t>Q1</t>
  </si>
  <si>
    <t>Chapter 1</t>
  </si>
  <si>
    <t>TEST1_Q2</t>
  </si>
  <si>
    <t>Q2</t>
  </si>
  <si>
    <t>Chapter 2</t>
  </si>
  <si>
    <t>TEST1_Q3</t>
  </si>
  <si>
    <t>Q3</t>
  </si>
  <si>
    <t>Chapter 3</t>
  </si>
  <si>
    <t>TEST1_Q4</t>
  </si>
  <si>
    <t>Q4</t>
  </si>
  <si>
    <t>TEST2_Q1</t>
  </si>
  <si>
    <t>TEST2_Q2</t>
  </si>
  <si>
    <t>TEST2_Q3</t>
  </si>
  <si>
    <t>Chapter 4</t>
  </si>
  <si>
    <t>TEST2_Q4</t>
  </si>
  <si>
    <t>Chapter 5</t>
  </si>
  <si>
    <t>Learning Analytics – Assessment Structure</t>
  </si>
  <si>
    <t>EDITABLE EXAMPLE: The assessment names, weightages, full marks and mapping choices shown above are examples. Lecturers may change them to match their course. If an assessment name or question structure is changed, update the matching Student Marks column names and Question-Chapter Mapping rows as well. Keep the three sheet names and required header names unchanged.</t>
  </si>
  <si>
    <t>Learning Analytics – Student Marks</t>
  </si>
  <si>
    <t>EDITABLE EXAMPLE – Enter Student ID / optional Student Name or Alias and raw marks only in the input columns. Assessment columns are examples and may be edited. For question-level tests, insert or delete question columns inside that test's question block and update Question-Chapter Mapping to match. The Test % formulas will then expand/contract with the question block and use the mapped full marks automatically. Replace or delete the EXAMPLE student rows before uploading. Automatic calculation columns are checking only; the web system recalculates the official results after upload.</t>
  </si>
  <si>
    <t>AUTOMATIC CALCULATIONS – Do not edit these output columns. They are provided for checking only; the web system recalculates the official values after upload.</t>
  </si>
  <si>
    <t>Student ID</t>
  </si>
  <si>
    <t>Student Name/Alias</t>
  </si>
  <si>
    <t>QUIZ1</t>
  </si>
  <si>
    <t>QUIZ2</t>
  </si>
  <si>
    <t>ASSIGNMENT</t>
  </si>
  <si>
    <t>PROJECT</t>
  </si>
  <si>
    <t>Test 1 %</t>
  </si>
  <si>
    <t>Test 2 %</t>
  </si>
  <si>
    <t>Quiz 1 %</t>
  </si>
  <si>
    <t>Quiz 2 %</t>
  </si>
  <si>
    <t>Assignment %</t>
  </si>
  <si>
    <t>Project %</t>
  </si>
  <si>
    <t>Coursework Mark /60</t>
  </si>
  <si>
    <t>Coursework Performance %</t>
  </si>
  <si>
    <t>EXAMPLE01</t>
  </si>
  <si>
    <t>Example Student A</t>
  </si>
  <si>
    <t>EXAMPLE02</t>
  </si>
  <si>
    <t>Example Student B</t>
  </si>
  <si>
    <t>Learning Analytics – Question-Chapter Mapping</t>
  </si>
  <si>
    <t>EDITABLE EXAMPLE: Add, remove or change question-mapping rows to match the assessment. If a question is removed, remove its mapping row as well. The Test percentage in Student Marks will automatically use the remaining mapped question marks. Check Assessment Structure: Mapped Full Marks (Auto) should match Full Marks before uploading.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</si>
</sst>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name val="Carlito"/>
    </font>
    <font>
      <b/>
      <sz val="14"/>
      <color rgb="FFFFFFFF"/>
      <name val="Carlito"/>
    </font>
    <font>
      <b/>
      <sz val="11"/>
      <color rgb="FFFFFFFF"/>
      <name val="Carlito"/>
    </font>
    <font>
      <i/>
      <sz val="11"/>
      <color rgb="FF1F1F1F"/>
      <name val="Carlito"/>
    </font>
    <font>
      <b/>
      <sz val="11"/>
      <name val="Carlito"/>
    </font>
  </fonts>
  <fills count="9">
    <fill>
      <patternFill patternType="none"/>
    </fill>
    <fill>
      <patternFill patternType="gray125"/>
    </fill>
    <fill>
      <patternFill patternType="solid">
        <fgColor rgb="FF0F5B84"/>
      </patternFill>
    </fill>
    <fill>
      <patternFill patternType="solid">
        <fgColor rgb="FFFFF2CC"/>
      </patternFill>
    </fill>
    <fill>
      <patternFill patternType="solid">
        <fgColor rgb="FF155F86"/>
      </patternFill>
    </fill>
    <fill>
      <patternFill patternType="solid">
        <fgColor rgb="FFEAF4E2"/>
      </patternFill>
    </fill>
    <fill>
      <patternFill patternType="solid">
        <fgColor rgb="FF2E7D32"/>
      </patternFill>
    </fill>
    <fill>
      <patternFill patternType="solid">
        <fgColor rgb="FFFFF4CC"/>
      </patternFill>
    </fill>
    <fill>
      <patternFill patternType="solid">
        <fgColor theme="0"/>
        <bgColor indexed="64"/>
      </patternFill>
    </fill>
  </fills>
  <borders count="37">
    <border>
      <left/>
      <right/>
      <top/>
      <bottom/>
      <diagonal/>
    </border>
    <border>
      <left/>
      <right/>
      <top/>
      <bottom/>
      <diagonal/>
    </border>
    <border>
      <left style="thin">
        <color rgb="FF8EA9C1"/>
      </left>
      <right/>
      <top style="thin">
        <color rgb="FF8EA9C1"/>
      </top>
      <bottom style="thin">
        <color rgb="FF8EA9C1"/>
      </bottom>
      <diagonal/>
    </border>
    <border>
      <left/>
      <right style="thin">
        <color rgb="FF8EA9C1"/>
      </right>
      <top style="thin">
        <color rgb="FF8EA9C1"/>
      </top>
      <bottom style="thin">
        <color rgb="FF8EA9C1"/>
      </bottom>
      <diagonal/>
    </border>
    <border>
      <left style="thin">
        <color rgb="FF8EA9C1"/>
      </left>
      <right/>
      <top style="thin">
        <color rgb="FF8EA9C1"/>
      </top>
      <bottom/>
      <diagonal/>
    </border>
    <border>
      <left/>
      <right style="thin">
        <color rgb="FF8EA9C1"/>
      </right>
      <top style="thin">
        <color rgb="FF8EA9C1"/>
      </top>
      <bottom/>
      <diagonal/>
    </border>
    <border>
      <left style="thin">
        <color rgb="FF8EA9C1"/>
      </left>
      <right/>
      <top/>
      <bottom/>
      <diagonal/>
    </border>
    <border>
      <left/>
      <right style="thin">
        <color rgb="FF8EA9C1"/>
      </right>
      <top/>
      <bottom/>
      <diagonal/>
    </border>
    <border>
      <left style="thin">
        <color rgb="FF8EA9C1"/>
      </left>
      <right/>
      <top/>
      <bottom style="thin">
        <color rgb="FF8EA9C1"/>
      </bottom>
      <diagonal/>
    </border>
    <border>
      <left/>
      <right style="thin">
        <color rgb="FF8EA9C1"/>
      </right>
      <top/>
      <bottom style="thin">
        <color rgb="FF8EA9C1"/>
      </bottom>
      <diagonal/>
    </border>
    <border>
      <left style="thin">
        <color rgb="FF8EA9C1"/>
      </left>
      <right style="thin">
        <color rgb="FF8EA9C1"/>
      </right>
      <top style="thin">
        <color rgb="FF8EA9C1"/>
      </top>
      <bottom/>
      <diagonal/>
    </border>
    <border>
      <left style="thin">
        <color rgb="FF8EA9C1"/>
      </left>
      <right style="thin">
        <color rgb="FF8EA9C1"/>
      </right>
      <top/>
      <bottom/>
      <diagonal/>
    </border>
    <border>
      <left/>
      <right/>
      <top style="thin">
        <color rgb="FF8EA9C1"/>
      </top>
      <bottom style="thin">
        <color rgb="FF8EA9C1"/>
      </bottom>
      <diagonal/>
    </border>
    <border>
      <left/>
      <right/>
      <top style="thin">
        <color rgb="FF8EA9C1"/>
      </top>
      <bottom/>
      <diagonal/>
    </border>
    <border>
      <left/>
      <right/>
      <top/>
      <bottom style="thin">
        <color rgb="FF8EA9C1"/>
      </bottom>
      <diagonal/>
    </border>
    <border>
      <left/>
      <right/>
      <top style="thin">
        <color rgb="FF8EA9C1"/>
      </top>
      <bottom/>
      <diagonal/>
    </border>
    <border>
      <left/>
      <right/>
      <top/>
      <bottom style="thin">
        <color rgb="FF8EA9C1"/>
      </bottom>
      <diagonal/>
    </border>
    <border>
      <left/>
      <right/>
      <top style="thin">
        <color theme="2" tint="-9.9978637043366805E-2"/>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diagonal/>
    </border>
    <border>
      <left/>
      <right/>
      <top/>
      <bottom style="thin">
        <color theme="2" tint="-9.9978637043366805E-2"/>
      </bottom>
      <diagonal/>
    </border>
    <border>
      <left style="thin">
        <color theme="2" tint="-9.9978637043366805E-2"/>
      </left>
      <right/>
      <top/>
      <bottom/>
      <diagonal/>
    </border>
    <border>
      <left/>
      <right/>
      <top/>
      <bottom/>
      <diagonal/>
    </border>
    <border>
      <left/>
      <right/>
      <top style="thin">
        <color rgb="FF8EA9C1"/>
      </top>
      <bottom style="thin">
        <color rgb="FF8EA9C1"/>
      </bottom>
      <diagonal/>
    </border>
    <border>
      <left/>
      <right/>
      <top style="thin">
        <color rgb="FF8EA9C1"/>
      </top>
      <bottom/>
      <diagonal/>
    </border>
    <border>
      <left/>
      <right/>
      <top/>
      <bottom style="thin">
        <color rgb="FF8EA9C1"/>
      </bottom>
      <diagonal/>
    </border>
    <border>
      <left style="thin">
        <color rgb="FF8EA9C1"/>
      </left>
      <right style="thin">
        <color rgb="FF8EA9C1"/>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top/>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diagonal/>
    </border>
    <border>
      <left/>
      <right style="thin">
        <color theme="2" tint="-0.249977111117893"/>
      </right>
      <top style="thin">
        <color theme="2" tint="-0.249977111117893"/>
      </top>
      <bottom/>
      <diagonal/>
    </border>
  </borders>
  <cellStyleXfs count="1">
    <xf numFmtId="0" fontId="0" fillId="0" borderId="0"/>
  </cellStyleXfs>
  <cellXfs count="88">
    <xf numFmtId="0" fontId="0" fillId="0" borderId="0" xfId="0"/>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2" fillId="2" borderId="12" xfId="0" applyFont="1" applyFill="1" applyBorder="1" applyAlignment="1">
      <alignment horizontal="center" vertical="center" wrapText="1"/>
    </xf>
    <xf numFmtId="0" fontId="0" fillId="0" borderId="0" xfId="0" applyAlignment="1">
      <alignment vertical="center"/>
    </xf>
    <xf numFmtId="0" fontId="0" fillId="0" borderId="14" xfId="0" applyBorder="1" applyAlignment="1">
      <alignment vertical="center"/>
    </xf>
    <xf numFmtId="0" fontId="0" fillId="0" borderId="0" xfId="0" applyAlignment="1">
      <alignment wrapText="1"/>
    </xf>
    <xf numFmtId="0" fontId="0" fillId="0" borderId="4" xfId="0" applyBorder="1" applyAlignment="1">
      <alignment vertical="center" wrapText="1"/>
    </xf>
    <xf numFmtId="1" fontId="0" fillId="0" borderId="5" xfId="0" applyNumberFormat="1" applyBorder="1" applyAlignment="1">
      <alignment vertical="center" wrapText="1"/>
    </xf>
    <xf numFmtId="0" fontId="0" fillId="0" borderId="10" xfId="0" applyBorder="1" applyAlignment="1">
      <alignment vertical="center" wrapText="1"/>
    </xf>
    <xf numFmtId="1" fontId="0" fillId="0" borderId="10" xfId="0" applyNumberFormat="1" applyBorder="1" applyAlignment="1">
      <alignment vertical="center" wrapText="1"/>
    </xf>
    <xf numFmtId="0" fontId="0" fillId="0" borderId="6" xfId="0" applyBorder="1" applyAlignment="1">
      <alignment vertical="center" wrapText="1"/>
    </xf>
    <xf numFmtId="1" fontId="0" fillId="0" borderId="7" xfId="0" applyNumberFormat="1" applyBorder="1" applyAlignment="1">
      <alignment vertical="center" wrapText="1"/>
    </xf>
    <xf numFmtId="0" fontId="0" fillId="0" borderId="11" xfId="0" applyBorder="1" applyAlignment="1">
      <alignment vertical="center" wrapText="1"/>
    </xf>
    <xf numFmtId="1" fontId="0" fillId="0" borderId="11" xfId="0" applyNumberFormat="1" applyBorder="1" applyAlignment="1">
      <alignment vertical="center" wrapText="1"/>
    </xf>
    <xf numFmtId="0" fontId="0" fillId="0" borderId="8" xfId="0" applyBorder="1" applyAlignment="1">
      <alignment vertical="center" wrapText="1"/>
    </xf>
    <xf numFmtId="1" fontId="0" fillId="0" borderId="9" xfId="0" applyNumberFormat="1" applyBorder="1" applyAlignment="1">
      <alignment vertical="center" wrapText="1"/>
    </xf>
    <xf numFmtId="0" fontId="0" fillId="0" borderId="0" xfId="0" applyAlignment="1">
      <alignment horizontal="center" vertical="center"/>
    </xf>
    <xf numFmtId="0" fontId="2" fillId="4" borderId="0" xfId="0" applyFont="1" applyFill="1" applyAlignment="1">
      <alignment horizontal="center" vertical="center" wrapText="1"/>
    </xf>
    <xf numFmtId="0" fontId="0" fillId="0" borderId="4" xfId="0" applyBorder="1" applyAlignment="1">
      <alignment horizontal="center" vertical="center" wrapText="1"/>
    </xf>
    <xf numFmtId="0" fontId="0" fillId="0" borderId="13" xfId="0" applyBorder="1" applyAlignment="1">
      <alignment horizontal="center" vertical="center" wrapText="1"/>
    </xf>
    <xf numFmtId="1" fontId="0" fillId="0" borderId="13" xfId="0" applyNumberFormat="1"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1" fontId="0" fillId="0" borderId="0" xfId="0" applyNumberFormat="1" applyAlignment="1">
      <alignment horizontal="center" vertical="center" wrapText="1"/>
    </xf>
    <xf numFmtId="0" fontId="0" fillId="0" borderId="14" xfId="0" applyBorder="1" applyAlignment="1">
      <alignment horizontal="center" vertical="center" wrapText="1"/>
    </xf>
    <xf numFmtId="1" fontId="0" fillId="0" borderId="14" xfId="0" applyNumberFormat="1" applyBorder="1" applyAlignment="1">
      <alignment horizontal="center" vertical="center" wrapText="1"/>
    </xf>
    <xf numFmtId="0" fontId="0" fillId="0" borderId="11" xfId="0" applyBorder="1" applyAlignment="1">
      <alignment horizontal="right" vertical="center" wrapText="1"/>
    </xf>
    <xf numFmtId="0" fontId="4" fillId="0" borderId="8" xfId="0" applyFont="1" applyBorder="1" applyAlignment="1">
      <alignment horizontal="center" vertical="center" wrapText="1"/>
    </xf>
    <xf numFmtId="1" fontId="4" fillId="0" borderId="14" xfId="0" applyNumberFormat="1" applyFont="1" applyBorder="1" applyAlignment="1">
      <alignment horizontal="center" vertical="center" wrapText="1"/>
    </xf>
    <xf numFmtId="0" fontId="0" fillId="0" borderId="17" xfId="0" applyBorder="1"/>
    <xf numFmtId="0" fontId="0" fillId="0" borderId="19" xfId="0"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center" vertical="center"/>
    </xf>
    <xf numFmtId="0" fontId="0" fillId="0" borderId="21" xfId="0" applyBorder="1" applyAlignment="1">
      <alignment horizontal="center" vertical="center"/>
    </xf>
    <xf numFmtId="0" fontId="0" fillId="0" borderId="22" xfId="0" applyBorder="1"/>
    <xf numFmtId="0" fontId="0" fillId="0" borderId="23" xfId="0" applyBorder="1"/>
    <xf numFmtId="0" fontId="0" fillId="0" borderId="4" xfId="0" applyBorder="1" applyAlignment="1">
      <alignment horizontal="center" vertical="center"/>
    </xf>
    <xf numFmtId="0" fontId="0" fillId="0" borderId="13" xfId="0" applyBorder="1" applyAlignment="1">
      <alignment horizontal="center" vertical="center"/>
    </xf>
    <xf numFmtId="1" fontId="0" fillId="0" borderId="15" xfId="0" applyNumberFormat="1" applyBorder="1" applyAlignment="1">
      <alignment horizontal="center" vertical="center"/>
    </xf>
    <xf numFmtId="0" fontId="0" fillId="0" borderId="6" xfId="0" applyBorder="1" applyAlignment="1">
      <alignment horizontal="center" vertical="center"/>
    </xf>
    <xf numFmtId="1" fontId="0" fillId="0" borderId="1" xfId="0" applyNumberFormat="1" applyBorder="1" applyAlignment="1">
      <alignment horizontal="center" vertical="center"/>
    </xf>
    <xf numFmtId="0" fontId="0" fillId="0" borderId="8" xfId="0" applyBorder="1" applyAlignment="1">
      <alignment horizontal="center" vertical="center"/>
    </xf>
    <xf numFmtId="0" fontId="0" fillId="0" borderId="14" xfId="0" applyBorder="1" applyAlignment="1">
      <alignment horizontal="center" vertical="center"/>
    </xf>
    <xf numFmtId="1" fontId="0" fillId="0" borderId="16" xfId="0" applyNumberFormat="1" applyBorder="1" applyAlignment="1">
      <alignment horizontal="center" vertical="center"/>
    </xf>
    <xf numFmtId="0" fontId="2" fillId="2" borderId="25" xfId="0" applyFont="1" applyFill="1" applyBorder="1" applyAlignment="1">
      <alignment horizontal="center" vertical="center" wrapText="1"/>
    </xf>
    <xf numFmtId="0" fontId="0" fillId="0" borderId="28" xfId="0" applyBorder="1" applyAlignment="1">
      <alignment vertical="center" wrapText="1"/>
    </xf>
    <xf numFmtId="0" fontId="0" fillId="0" borderId="26" xfId="0" applyBorder="1" applyAlignment="1">
      <alignment horizontal="center" vertical="center" wrapText="1"/>
    </xf>
    <xf numFmtId="0" fontId="0" fillId="0" borderId="24"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right" vertical="center" wrapText="1"/>
    </xf>
    <xf numFmtId="164" fontId="0" fillId="5" borderId="4" xfId="0" applyNumberFormat="1" applyFill="1" applyBorder="1" applyAlignment="1">
      <alignment vertical="center"/>
    </xf>
    <xf numFmtId="164" fontId="0" fillId="5" borderId="13" xfId="0" applyNumberFormat="1" applyFill="1" applyBorder="1" applyAlignment="1">
      <alignment vertical="center"/>
    </xf>
    <xf numFmtId="164" fontId="0" fillId="5" borderId="5" xfId="0" applyNumberFormat="1" applyFill="1" applyBorder="1" applyAlignment="1">
      <alignment vertical="center"/>
    </xf>
    <xf numFmtId="164" fontId="0" fillId="5" borderId="6" xfId="0" applyNumberFormat="1" applyFill="1" applyBorder="1" applyAlignment="1">
      <alignment vertical="center"/>
    </xf>
    <xf numFmtId="164" fontId="0" fillId="5" borderId="0" xfId="0" applyNumberFormat="1" applyFill="1" applyAlignment="1">
      <alignment vertical="center"/>
    </xf>
    <xf numFmtId="164" fontId="0" fillId="5" borderId="7" xfId="0" applyNumberFormat="1" applyFill="1" applyBorder="1" applyAlignment="1">
      <alignment vertical="center"/>
    </xf>
    <xf numFmtId="164" fontId="0" fillId="5" borderId="8" xfId="0" applyNumberFormat="1" applyFill="1" applyBorder="1" applyAlignment="1">
      <alignment vertical="center"/>
    </xf>
    <xf numFmtId="164" fontId="0" fillId="5" borderId="14" xfId="0" applyNumberFormat="1" applyFill="1" applyBorder="1" applyAlignment="1">
      <alignment vertical="center"/>
    </xf>
    <xf numFmtId="164" fontId="0" fillId="5" borderId="9" xfId="0" applyNumberFormat="1" applyFill="1" applyBorder="1" applyAlignment="1">
      <alignment vertical="center"/>
    </xf>
    <xf numFmtId="0" fontId="0" fillId="5" borderId="0" xfId="0" applyFill="1"/>
    <xf numFmtId="0" fontId="2" fillId="6" borderId="1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0" fillId="7" borderId="4" xfId="0" applyFill="1" applyBorder="1" applyAlignment="1">
      <alignment vertical="center"/>
    </xf>
    <xf numFmtId="0" fontId="0" fillId="7" borderId="13" xfId="0" applyFill="1" applyBorder="1" applyAlignment="1">
      <alignment vertical="center"/>
    </xf>
    <xf numFmtId="0" fontId="0" fillId="7" borderId="5" xfId="0" applyFill="1" applyBorder="1" applyAlignment="1">
      <alignment vertical="center"/>
    </xf>
    <xf numFmtId="0" fontId="0" fillId="7" borderId="6" xfId="0" applyFill="1" applyBorder="1" applyAlignment="1">
      <alignment vertical="center"/>
    </xf>
    <xf numFmtId="0" fontId="0" fillId="7" borderId="0" xfId="0" applyFill="1" applyAlignment="1">
      <alignment vertical="center"/>
    </xf>
    <xf numFmtId="0" fontId="0" fillId="7" borderId="7" xfId="0" applyFill="1" applyBorder="1" applyAlignment="1">
      <alignment vertical="center"/>
    </xf>
    <xf numFmtId="0" fontId="1" fillId="2" borderId="0" xfId="0" applyFont="1" applyFill="1" applyAlignment="1">
      <alignment horizontal="center" vertical="center" wrapText="1"/>
    </xf>
    <xf numFmtId="0" fontId="3" fillId="3" borderId="0" xfId="0" applyFont="1" applyFill="1" applyAlignment="1">
      <alignment vertical="center" wrapText="1"/>
    </xf>
    <xf numFmtId="0" fontId="1" fillId="2" borderId="0" xfId="0" applyFont="1" applyFill="1" applyAlignment="1">
      <alignment horizontal="center" vertical="center"/>
    </xf>
    <xf numFmtId="0" fontId="0" fillId="0" borderId="0" xfId="0"/>
    <xf numFmtId="0" fontId="2" fillId="8" borderId="29" xfId="0" applyFont="1" applyFill="1" applyBorder="1" applyAlignment="1">
      <alignment horizontal="center" wrapText="1"/>
    </xf>
    <xf numFmtId="0" fontId="0" fillId="0" borderId="29" xfId="0" applyBorder="1" applyAlignment="1">
      <alignment wrapText="1"/>
    </xf>
    <xf numFmtId="0" fontId="2" fillId="8" borderId="32" xfId="0" applyFont="1" applyFill="1" applyBorder="1" applyAlignment="1">
      <alignment horizontal="center" wrapText="1"/>
    </xf>
    <xf numFmtId="0" fontId="0" fillId="0" borderId="31" xfId="0" applyBorder="1"/>
    <xf numFmtId="0" fontId="0" fillId="0" borderId="30" xfId="0" applyBorder="1" applyAlignment="1">
      <alignment wrapText="1"/>
    </xf>
    <xf numFmtId="0" fontId="0" fillId="0" borderId="31" xfId="0" applyBorder="1" applyAlignment="1">
      <alignment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0" fontId="0" fillId="0" borderId="36" xfId="0" applyBorder="1" applyAlignment="1">
      <alignment wrapText="1"/>
    </xf>
    <xf numFmtId="0" fontId="0" fillId="0" borderId="32" xfId="0" applyBorder="1" applyAlignment="1">
      <alignment wrapText="1"/>
    </xf>
  </cellXfs>
  <cellStyles count="1">
    <cellStyle name="Normal" xfId="0" builtinId="0"/>
  </cellStyles>
  <dxfs count="10">
    <dxf>
      <font>
        <b/>
        <color rgb="FFC00000"/>
      </font>
      <fill>
        <patternFill>
          <bgColor rgb="FFFCE4D6"/>
        </patternFill>
      </fill>
    </dxf>
    <dxf>
      <font>
        <b/>
        <color rgb="FF2E7D32"/>
      </font>
      <fill>
        <patternFill>
          <bgColor rgb="FFE2F0D9"/>
        </patternFill>
      </fill>
    </dxf>
    <dxf>
      <font>
        <color rgb="FFB91C1C"/>
      </font>
      <fill>
        <patternFill>
          <bgColor rgb="FFFDECEC"/>
        </patternFill>
      </fill>
    </dxf>
    <dxf>
      <font>
        <color rgb="FF166534"/>
      </font>
      <fill>
        <patternFill>
          <bgColor rgb="FFECFDF3"/>
        </patternFill>
      </fill>
    </dxf>
    <dxf>
      <font>
        <b/>
        <color rgb="FFB42318"/>
      </font>
      <fill>
        <patternFill patternType="solid">
          <bgColor rgb="FFFDE2E2"/>
        </patternFill>
      </fill>
    </dxf>
    <dxf>
      <font>
        <b/>
        <color rgb="FF1E7A3C"/>
      </font>
      <fill>
        <patternFill patternType="solid">
          <bgColor rgb="FFDFF4E5"/>
        </patternFill>
      </fill>
    </dxf>
    <dxf>
      <fill>
        <patternFill>
          <bgColor rgb="FFFCE4D6"/>
        </patternFill>
      </fill>
    </dxf>
    <dxf>
      <fill>
        <patternFill>
          <bgColor rgb="FFE2F0D9"/>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ssessmentConfigTable" displayName="AssessmentConfigTable" ref="A8:E15" totalsRowShown="0">
  <tableColumns count="5">
    <tableColumn id="1" xr3:uid="{00000000-0010-0000-0000-000001000000}" name="Assessment"/>
    <tableColumn id="2" xr3:uid="{00000000-0010-0000-0000-000002000000}" name="Assessment Type"/>
    <tableColumn id="3" xr3:uid="{00000000-0010-0000-0000-000003000000}" name="Assessment Weightage (%)"/>
    <tableColumn id="4" xr3:uid="{00000000-0010-0000-0000-000004000000}" name="Full Marks"/>
    <tableColumn id="5" xr3:uid="{00000000-0010-0000-0000-000005000000}" name="Question-Level Chapter Mapp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tudentMarksTable" displayName="StudentMarksTable" ref="A4:V29" totalsRowShown="0">
  <tableColumns count="22">
    <tableColumn id="1" xr3:uid="{00000000-0010-0000-0100-000001000000}" name="Student ID"/>
    <tableColumn id="2" xr3:uid="{00000000-0010-0000-0100-000002000000}" name="Student Name/Alias"/>
    <tableColumn id="3" xr3:uid="{00000000-0010-0000-0100-000003000000}" name="TEST1_Q1"/>
    <tableColumn id="4" xr3:uid="{00000000-0010-0000-0100-000004000000}" name="TEST1_Q2"/>
    <tableColumn id="5" xr3:uid="{00000000-0010-0000-0100-000005000000}" name="TEST1_Q3"/>
    <tableColumn id="6" xr3:uid="{00000000-0010-0000-0100-000006000000}" name="TEST1_Q4"/>
    <tableColumn id="7" xr3:uid="{00000000-0010-0000-0100-000007000000}" name="TEST2_Q1"/>
    <tableColumn id="8" xr3:uid="{00000000-0010-0000-0100-000008000000}" name="TEST2_Q2"/>
    <tableColumn id="9" xr3:uid="{00000000-0010-0000-0100-000009000000}" name="TEST2_Q3"/>
    <tableColumn id="10" xr3:uid="{00000000-0010-0000-0100-00000A000000}" name="TEST2_Q4"/>
    <tableColumn id="11" xr3:uid="{00000000-0010-0000-0100-00000B000000}" name="QUIZ1"/>
    <tableColumn id="12" xr3:uid="{00000000-0010-0000-0100-00000C000000}" name="QUIZ2"/>
    <tableColumn id="13" xr3:uid="{00000000-0010-0000-0100-00000D000000}" name="ASSIGNMENT"/>
    <tableColumn id="14" xr3:uid="{00000000-0010-0000-0100-00000E000000}" name="PROJECT"/>
    <tableColumn id="15" xr3:uid="{00000000-0010-0000-0100-00000F000000}" name="Test 1 %"/>
    <tableColumn id="16" xr3:uid="{00000000-0010-0000-0100-000010000000}" name="Test 2 %"/>
    <tableColumn id="17" xr3:uid="{00000000-0010-0000-0100-000011000000}" name="Quiz 1 %"/>
    <tableColumn id="18" xr3:uid="{00000000-0010-0000-0100-000012000000}" name="Quiz 2 %"/>
    <tableColumn id="19" xr3:uid="{00000000-0010-0000-0100-000013000000}" name="Assignment %"/>
    <tableColumn id="20" xr3:uid="{00000000-0010-0000-0100-000014000000}" name="Project %"/>
    <tableColumn id="21" xr3:uid="{00000000-0010-0000-0100-000015000000}" name="Coursework Mark /60"/>
    <tableColumn id="22" xr3:uid="{00000000-0010-0000-0100-000016000000}" name="Coursework Performanc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estionChapterMappingTable" displayName="QuestionChapterMappingTable" ref="A3:E11" totalsRowShown="0">
  <tableColumns count="5">
    <tableColumn id="1" xr3:uid="{00000000-0010-0000-0200-000001000000}" name="Column Name"/>
    <tableColumn id="2" xr3:uid="{00000000-0010-0000-0200-000002000000}" name="Assessment"/>
    <tableColumn id="3" xr3:uid="{00000000-0010-0000-0200-000003000000}" name="Question"/>
    <tableColumn id="4" xr3:uid="{00000000-0010-0000-0200-000004000000}" name="Chapter"/>
    <tableColumn id="5" xr3:uid="{00000000-0010-0000-0200-000005000000}" name="Full Mark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F8" sqref="F8:G9"/>
    </sheetView>
  </sheetViews>
  <sheetFormatPr defaultRowHeight="13.8"/>
  <cols>
    <col min="1" max="1" width="18.8984375" customWidth="1"/>
    <col min="2" max="2" width="21" customWidth="1"/>
    <col min="3" max="3" width="24" customWidth="1"/>
    <col min="4" max="4" width="13" customWidth="1"/>
    <col min="5" max="5" width="29" customWidth="1"/>
    <col min="6" max="6" width="22" customWidth="1"/>
    <col min="7" max="7" width="20" customWidth="1"/>
  </cols>
  <sheetData>
    <row r="1" spans="1:8" ht="15.3" customHeight="1">
      <c r="A1" s="73" t="s">
        <v>47</v>
      </c>
      <c r="B1" s="73"/>
      <c r="C1" s="73"/>
      <c r="D1" s="73"/>
      <c r="E1" s="73"/>
      <c r="F1" s="73"/>
      <c r="G1" s="73"/>
    </row>
    <row r="2" spans="1:8">
      <c r="A2" s="10"/>
      <c r="B2" s="10"/>
      <c r="C2" s="10"/>
      <c r="D2" s="10"/>
      <c r="E2" s="10"/>
      <c r="F2" s="10"/>
      <c r="G2" s="10"/>
    </row>
    <row r="3" spans="1:8" ht="27.6">
      <c r="A3" s="1" t="s">
        <v>0</v>
      </c>
      <c r="B3" s="2" t="s">
        <v>1</v>
      </c>
      <c r="C3" s="10"/>
      <c r="D3" s="10"/>
      <c r="E3" s="10"/>
      <c r="F3" s="1" t="s">
        <v>2</v>
      </c>
      <c r="G3" s="2" t="s">
        <v>3</v>
      </c>
    </row>
    <row r="4" spans="1:8">
      <c r="A4" s="11" t="s">
        <v>4</v>
      </c>
      <c r="B4" s="12">
        <v>60</v>
      </c>
      <c r="C4" s="10"/>
      <c r="D4" s="10"/>
      <c r="E4" s="10"/>
      <c r="F4" s="13" t="s">
        <v>5</v>
      </c>
      <c r="G4" s="14">
        <f>SUM(B4:B5)</f>
        <v>100</v>
      </c>
    </row>
    <row r="5" spans="1:8" ht="27.6">
      <c r="A5" s="15" t="s">
        <v>6</v>
      </c>
      <c r="B5" s="16">
        <v>40</v>
      </c>
      <c r="C5" s="10"/>
      <c r="D5" s="10"/>
      <c r="E5" s="10"/>
      <c r="F5" s="17" t="s">
        <v>7</v>
      </c>
      <c r="G5" s="18">
        <f>SUM(C9:C14)</f>
        <v>60</v>
      </c>
    </row>
    <row r="6" spans="1:8" ht="27.6">
      <c r="A6" s="19" t="s">
        <v>8</v>
      </c>
      <c r="B6" s="20">
        <v>100</v>
      </c>
      <c r="C6" s="10"/>
      <c r="D6" s="10"/>
      <c r="E6" s="10"/>
      <c r="F6" s="17" t="s">
        <v>9</v>
      </c>
      <c r="G6" s="31" t="str">
        <f>IF(G5=B4,"OK","CHECK")</f>
        <v>OK</v>
      </c>
    </row>
    <row r="7" spans="1:8">
      <c r="A7" s="10"/>
      <c r="B7" s="10"/>
      <c r="C7" s="10"/>
      <c r="D7" s="10"/>
      <c r="E7" s="10"/>
      <c r="F7" s="50" t="s">
        <v>10</v>
      </c>
      <c r="G7" s="54" t="str">
        <f>IF(AND(G4=100,G6="OK"),"READY","CHECK")</f>
        <v>READY</v>
      </c>
    </row>
    <row r="8" spans="1:8" ht="27.6">
      <c r="A8" s="1" t="s">
        <v>11</v>
      </c>
      <c r="B8" s="7" t="s">
        <v>12</v>
      </c>
      <c r="C8" s="7" t="s">
        <v>13</v>
      </c>
      <c r="D8" s="7" t="s">
        <v>14</v>
      </c>
      <c r="E8" s="49" t="s">
        <v>15</v>
      </c>
      <c r="F8" s="77"/>
      <c r="G8" s="79"/>
      <c r="H8" s="80"/>
    </row>
    <row r="9" spans="1:8">
      <c r="A9" s="23" t="s">
        <v>16</v>
      </c>
      <c r="B9" s="24" t="s">
        <v>17</v>
      </c>
      <c r="C9" s="25">
        <v>15</v>
      </c>
      <c r="D9" s="25">
        <v>50</v>
      </c>
      <c r="E9" s="51" t="s">
        <v>18</v>
      </c>
      <c r="F9" s="78"/>
      <c r="G9" s="81"/>
    </row>
    <row r="10" spans="1:8">
      <c r="A10" s="26" t="s">
        <v>19</v>
      </c>
      <c r="B10" s="27" t="s">
        <v>17</v>
      </c>
      <c r="C10" s="28">
        <v>15</v>
      </c>
      <c r="D10" s="28">
        <v>50</v>
      </c>
      <c r="E10" s="52" t="s">
        <v>18</v>
      </c>
      <c r="F10" s="78"/>
      <c r="G10" s="84"/>
    </row>
    <row r="11" spans="1:8">
      <c r="A11" s="26" t="s">
        <v>20</v>
      </c>
      <c r="B11" s="27" t="s">
        <v>21</v>
      </c>
      <c r="C11" s="28">
        <v>5</v>
      </c>
      <c r="D11" s="28">
        <v>10</v>
      </c>
      <c r="E11" s="52" t="s">
        <v>22</v>
      </c>
      <c r="F11" s="85"/>
      <c r="G11" s="78"/>
    </row>
    <row r="12" spans="1:8">
      <c r="A12" s="26" t="s">
        <v>23</v>
      </c>
      <c r="B12" s="27" t="s">
        <v>21</v>
      </c>
      <c r="C12" s="28">
        <v>5</v>
      </c>
      <c r="D12" s="28">
        <v>10</v>
      </c>
      <c r="E12" s="52" t="s">
        <v>22</v>
      </c>
      <c r="F12" s="78"/>
      <c r="G12" s="78"/>
    </row>
    <row r="13" spans="1:8">
      <c r="A13" s="26" t="s">
        <v>24</v>
      </c>
      <c r="B13" s="27" t="s">
        <v>24</v>
      </c>
      <c r="C13" s="28">
        <v>10</v>
      </c>
      <c r="D13" s="28">
        <v>100</v>
      </c>
      <c r="E13" s="52" t="s">
        <v>22</v>
      </c>
      <c r="F13" s="87"/>
      <c r="G13" s="83"/>
    </row>
    <row r="14" spans="1:8">
      <c r="A14" s="26" t="s">
        <v>25</v>
      </c>
      <c r="B14" s="27" t="s">
        <v>25</v>
      </c>
      <c r="C14" s="28">
        <v>10</v>
      </c>
      <c r="D14" s="28">
        <v>100</v>
      </c>
      <c r="E14" s="52" t="s">
        <v>22</v>
      </c>
      <c r="F14" s="82"/>
      <c r="G14" s="86"/>
    </row>
    <row r="15" spans="1:8">
      <c r="A15" s="32" t="s">
        <v>8</v>
      </c>
      <c r="B15" s="29"/>
      <c r="C15" s="33">
        <v>60</v>
      </c>
      <c r="D15" s="30"/>
      <c r="E15" s="53"/>
      <c r="F15" s="87"/>
      <c r="G15" s="84"/>
    </row>
    <row r="16" spans="1:8">
      <c r="A16" s="10"/>
      <c r="B16" s="10"/>
      <c r="C16" s="10"/>
      <c r="D16" s="10"/>
      <c r="E16" s="10"/>
      <c r="F16" s="10"/>
      <c r="G16" s="10"/>
    </row>
    <row r="17" spans="1:7" ht="13.8" customHeight="1">
      <c r="A17" s="74" t="s">
        <v>48</v>
      </c>
      <c r="B17" s="74"/>
      <c r="C17" s="74"/>
      <c r="D17" s="74"/>
      <c r="E17" s="74"/>
      <c r="F17" s="74"/>
      <c r="G17" s="74"/>
    </row>
    <row r="18" spans="1:7" ht="13.8" customHeight="1">
      <c r="A18" s="74"/>
      <c r="B18" s="74"/>
      <c r="C18" s="74"/>
      <c r="D18" s="74"/>
      <c r="E18" s="74"/>
      <c r="F18" s="74"/>
      <c r="G18" s="74"/>
    </row>
  </sheetData>
  <mergeCells count="2">
    <mergeCell ref="A1:G1"/>
    <mergeCell ref="A17:G18"/>
  </mergeCells>
  <conditionalFormatting sqref="G6:G7">
    <cfRule type="expression" dxfId="9" priority="1">
      <formula>G6="OK"</formula>
    </cfRule>
    <cfRule type="expression" dxfId="8" priority="2">
      <formula>G6="CHECK"</formula>
    </cfRule>
    <cfRule type="expression" dxfId="7" priority="3">
      <formula>G7="READY"</formula>
    </cfRule>
    <cfRule type="expression" dxfId="6" priority="4">
      <formula>G7="CHECK"</formula>
    </cfRule>
  </conditionalFormatting>
  <conditionalFormatting sqref="G9:G14">
    <cfRule type="expression" dxfId="5" priority="5">
      <formula>G9="OK"</formula>
    </cfRule>
    <cfRule type="expression" dxfId="4" priority="6">
      <formula>G9="Update Full Marks"</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4"/>
  <sheetViews>
    <sheetView workbookViewId="0">
      <selection activeCell="P5" sqref="P5"/>
    </sheetView>
  </sheetViews>
  <sheetFormatPr defaultRowHeight="13.8"/>
  <cols>
    <col min="1" max="1" width="12" customWidth="1"/>
    <col min="2" max="2" width="18" customWidth="1"/>
    <col min="3" max="10" width="11" customWidth="1"/>
    <col min="11" max="12" width="10" customWidth="1"/>
    <col min="13" max="20" width="12" customWidth="1"/>
    <col min="21" max="21" width="18" customWidth="1"/>
    <col min="22" max="22" width="22" customWidth="1"/>
  </cols>
  <sheetData>
    <row r="1" spans="1:22" ht="15.3" customHeight="1">
      <c r="A1" s="75" t="s">
        <v>49</v>
      </c>
      <c r="B1" s="75"/>
      <c r="C1" s="75"/>
      <c r="D1" s="75"/>
      <c r="E1" s="75"/>
      <c r="F1" s="75"/>
      <c r="G1" s="75"/>
      <c r="H1" s="75"/>
      <c r="I1" s="75"/>
      <c r="J1" s="75"/>
      <c r="K1" s="75"/>
      <c r="L1" s="75"/>
      <c r="M1" s="75"/>
      <c r="N1" s="75"/>
      <c r="O1" s="75"/>
      <c r="P1" s="75"/>
      <c r="Q1" s="75"/>
      <c r="R1" s="75"/>
      <c r="S1" s="75"/>
      <c r="T1" s="75"/>
      <c r="U1" s="75"/>
      <c r="V1" s="75"/>
    </row>
    <row r="2" spans="1:22" ht="14.4">
      <c r="A2" s="74" t="s">
        <v>50</v>
      </c>
      <c r="B2" s="74"/>
      <c r="C2" s="74"/>
      <c r="D2" s="74"/>
      <c r="E2" s="74"/>
      <c r="F2" s="74"/>
      <c r="G2" s="74"/>
      <c r="H2" s="74"/>
      <c r="I2" s="74"/>
      <c r="J2" s="74"/>
      <c r="K2" s="74"/>
      <c r="L2" s="74"/>
      <c r="M2" s="74"/>
      <c r="N2" s="74"/>
      <c r="O2" s="74" t="s">
        <v>51</v>
      </c>
      <c r="P2" s="74"/>
      <c r="Q2" s="74"/>
      <c r="R2" s="74"/>
      <c r="S2" s="74"/>
      <c r="T2" s="74"/>
      <c r="U2" s="74"/>
      <c r="V2" s="74"/>
    </row>
    <row r="4" spans="1:22" ht="21.75" customHeight="1">
      <c r="A4" s="1" t="s">
        <v>52</v>
      </c>
      <c r="B4" s="7" t="s">
        <v>53</v>
      </c>
      <c r="C4" s="7" t="s">
        <v>30</v>
      </c>
      <c r="D4" s="7" t="s">
        <v>33</v>
      </c>
      <c r="E4" s="7" t="s">
        <v>36</v>
      </c>
      <c r="F4" s="7" t="s">
        <v>39</v>
      </c>
      <c r="G4" s="7" t="s">
        <v>41</v>
      </c>
      <c r="H4" s="7" t="s">
        <v>42</v>
      </c>
      <c r="I4" s="7" t="s">
        <v>43</v>
      </c>
      <c r="J4" s="7" t="s">
        <v>45</v>
      </c>
      <c r="K4" s="7" t="s">
        <v>54</v>
      </c>
      <c r="L4" s="7" t="s">
        <v>55</v>
      </c>
      <c r="M4" s="7" t="s">
        <v>56</v>
      </c>
      <c r="N4" s="7" t="s">
        <v>57</v>
      </c>
      <c r="O4" s="65" t="s">
        <v>58</v>
      </c>
      <c r="P4" s="65" t="s">
        <v>59</v>
      </c>
      <c r="Q4" s="65" t="s">
        <v>60</v>
      </c>
      <c r="R4" s="65" t="s">
        <v>61</v>
      </c>
      <c r="S4" s="65" t="s">
        <v>62</v>
      </c>
      <c r="T4" s="65" t="s">
        <v>63</v>
      </c>
      <c r="U4" s="65" t="s">
        <v>64</v>
      </c>
      <c r="V4" s="66" t="s">
        <v>65</v>
      </c>
    </row>
    <row r="5" spans="1:22">
      <c r="A5" s="67" t="s">
        <v>66</v>
      </c>
      <c r="B5" s="68" t="s">
        <v>67</v>
      </c>
      <c r="C5" s="68">
        <v>8</v>
      </c>
      <c r="D5" s="68">
        <v>9</v>
      </c>
      <c r="E5" s="68">
        <v>12</v>
      </c>
      <c r="F5" s="68">
        <v>13</v>
      </c>
      <c r="G5" s="68">
        <v>8</v>
      </c>
      <c r="H5" s="68">
        <v>7</v>
      </c>
      <c r="I5" s="68">
        <v>13</v>
      </c>
      <c r="J5" s="68">
        <v>12</v>
      </c>
      <c r="K5" s="68">
        <v>8</v>
      </c>
      <c r="L5" s="68">
        <v>9</v>
      </c>
      <c r="M5" s="68">
        <v>72</v>
      </c>
      <c r="N5" s="69">
        <v>85</v>
      </c>
      <c r="O5" s="55">
        <f>IF($A5="","",IFERROR(SUM(C5:F5)/SUMIF('Question-Chapter Mapping'!$B$4:$B$100,"Test 1",'Question-Chapter Mapping'!$E$4:$E$100)*100,""))</f>
        <v>84</v>
      </c>
      <c r="P5" s="56">
        <f>IF($A5="","",IFERROR(SUM(G5:J5)/SUMIF('Question-Chapter Mapping'!$B$4:$B$100,"Test 2",'Question-Chapter Mapping'!$E$4:$E$100)*100,""))</f>
        <v>80</v>
      </c>
      <c r="Q5" s="56">
        <f>IF($A5="","",IFERROR(K5/'Assessment Structure'!$D$11*100,""))</f>
        <v>80</v>
      </c>
      <c r="R5" s="56">
        <f>IF($A5="","",IFERROR(L5/'Assessment Structure'!$D$12*100,""))</f>
        <v>90</v>
      </c>
      <c r="S5" s="56">
        <f>IF($A5="","",IFERROR(M5/'Assessment Structure'!$D$13*100,""))</f>
        <v>72</v>
      </c>
      <c r="T5" s="56">
        <f>IF($A5="","",IFERROR(N5/'Assessment Structure'!$D$14*100,""))</f>
        <v>85</v>
      </c>
      <c r="U5" s="56">
        <f>IF($A5="","",O5/100*'Assessment Structure'!$C$9+P5/100*'Assessment Structure'!$C$10+Q5/100*'Assessment Structure'!$C$11+R5/100*'Assessment Structure'!$C$12+S5/100*'Assessment Structure'!$C$13+T5/100*'Assessment Structure'!$C$14)</f>
        <v>48.8</v>
      </c>
      <c r="V5" s="57">
        <f>IF($A5="","",IFERROR(U5/'Assessment Structure'!$B$4*100,""))</f>
        <v>81.333333333333329</v>
      </c>
    </row>
    <row r="6" spans="1:22">
      <c r="A6" s="70" t="s">
        <v>68</v>
      </c>
      <c r="B6" s="71" t="s">
        <v>69</v>
      </c>
      <c r="C6" s="71">
        <v>6</v>
      </c>
      <c r="D6" s="71">
        <v>7</v>
      </c>
      <c r="E6" s="71">
        <v>10</v>
      </c>
      <c r="F6" s="71">
        <v>11</v>
      </c>
      <c r="G6" s="71">
        <v>6</v>
      </c>
      <c r="H6" s="71">
        <v>5</v>
      </c>
      <c r="I6" s="71">
        <v>10</v>
      </c>
      <c r="J6" s="71">
        <v>9</v>
      </c>
      <c r="K6" s="71">
        <v>6</v>
      </c>
      <c r="L6" s="71">
        <v>7</v>
      </c>
      <c r="M6" s="71">
        <v>60</v>
      </c>
      <c r="N6" s="72">
        <v>70</v>
      </c>
      <c r="O6" s="58">
        <f>IF($A6="","",IFERROR(SUM(C6:F6)/SUMIF('Question-Chapter Mapping'!$B$4:$B$100,"Test 1",'Question-Chapter Mapping'!$E$4:$E$100)*100,""))</f>
        <v>68</v>
      </c>
      <c r="P6" s="59">
        <f>IF($A6="","",IFERROR(SUM(G6:J6)/SUMIF('Question-Chapter Mapping'!$B$4:$B$100,"Test 2",'Question-Chapter Mapping'!$E$4:$E$100)*100,""))</f>
        <v>60</v>
      </c>
      <c r="Q6" s="59">
        <f>IF($A6="","",IFERROR(K6/'Assessment Structure'!$D$11*100,""))</f>
        <v>60</v>
      </c>
      <c r="R6" s="59">
        <f>IF($A6="","",IFERROR(L6/'Assessment Structure'!$D$12*100,""))</f>
        <v>70</v>
      </c>
      <c r="S6" s="59">
        <f>IF($A6="","",IFERROR(M6/'Assessment Structure'!$D$13*100,""))</f>
        <v>60</v>
      </c>
      <c r="T6" s="59">
        <f>IF($A6="","",IFERROR(N6/'Assessment Structure'!$D$14*100,""))</f>
        <v>70</v>
      </c>
      <c r="U6" s="59">
        <f>IF($A6="","",O6/100*'Assessment Structure'!$C$9+P6/100*'Assessment Structure'!$C$10+Q6/100*'Assessment Structure'!$C$11+R6/100*'Assessment Structure'!$C$12+S6/100*'Assessment Structure'!$C$13+T6/100*'Assessment Structure'!$C$14)</f>
        <v>38.700000000000003</v>
      </c>
      <c r="V6" s="60">
        <f>IF($A6="","",IFERROR(U6/'Assessment Structure'!$B$4*100,""))</f>
        <v>64.5</v>
      </c>
    </row>
    <row r="7" spans="1:22">
      <c r="A7" s="3"/>
      <c r="B7" s="8"/>
      <c r="C7" s="8"/>
      <c r="D7" s="8"/>
      <c r="E7" s="8"/>
      <c r="F7" s="8"/>
      <c r="G7" s="8"/>
      <c r="H7" s="8"/>
      <c r="I7" s="8"/>
      <c r="J7" s="8"/>
      <c r="K7" s="8"/>
      <c r="L7" s="8"/>
      <c r="M7" s="8"/>
      <c r="N7" s="4"/>
      <c r="O7" s="58" t="str">
        <f>IF($A7="","",IFERROR(SUM(C7:F7)/SUMIF('Question-Chapter Mapping'!$B$4:$B$100,"Test 1",'Question-Chapter Mapping'!$E$4:$E$100)*100,""))</f>
        <v/>
      </c>
      <c r="P7" s="59" t="str">
        <f>IF($A7="","",IFERROR(SUM(G7:J7)/SUMIF('Question-Chapter Mapping'!$B$4:$B$100,"Test 2",'Question-Chapter Mapping'!$E$4:$E$100)*100,""))</f>
        <v/>
      </c>
      <c r="Q7" s="59" t="str">
        <f>IF($A7="","",IFERROR(K7/'Assessment Structure'!$D$11*100,""))</f>
        <v/>
      </c>
      <c r="R7" s="59" t="str">
        <f>IF($A7="","",IFERROR(L7/'Assessment Structure'!$D$12*100,""))</f>
        <v/>
      </c>
      <c r="S7" s="59" t="str">
        <f>IF($A7="","",IFERROR(M7/'Assessment Structure'!$D$13*100,""))</f>
        <v/>
      </c>
      <c r="T7" s="59" t="str">
        <f>IF($A7="","",IFERROR(N7/'Assessment Structure'!$D$14*100,""))</f>
        <v/>
      </c>
      <c r="U7" s="59" t="str">
        <f>IF($A7="","",O7/100*'Assessment Structure'!$C$9+P7/100*'Assessment Structure'!$C$10+Q7/100*'Assessment Structure'!$C$11+R7/100*'Assessment Structure'!$C$12+S7/100*'Assessment Structure'!$C$13+T7/100*'Assessment Structure'!$C$14)</f>
        <v/>
      </c>
      <c r="V7" s="60" t="str">
        <f>IF($A7="","",IFERROR(U7/'Assessment Structure'!$B$4*100,""))</f>
        <v/>
      </c>
    </row>
    <row r="8" spans="1:22">
      <c r="A8" s="3"/>
      <c r="B8" s="8"/>
      <c r="C8" s="8"/>
      <c r="D8" s="8"/>
      <c r="E8" s="8"/>
      <c r="F8" s="8"/>
      <c r="G8" s="8"/>
      <c r="H8" s="8"/>
      <c r="I8" s="8"/>
      <c r="J8" s="8"/>
      <c r="K8" s="8"/>
      <c r="L8" s="8"/>
      <c r="M8" s="8"/>
      <c r="N8" s="4"/>
      <c r="O8" s="58" t="str">
        <f>IF($A8="","",IFERROR(SUM(C8:F8)/SUMIF('Question-Chapter Mapping'!$B$4:$B$100,"Test 1",'Question-Chapter Mapping'!$E$4:$E$100)*100,""))</f>
        <v/>
      </c>
      <c r="P8" s="59" t="str">
        <f>IF($A8="","",IFERROR(SUM(G8:J8)/SUMIF('Question-Chapter Mapping'!$B$4:$B$100,"Test 2",'Question-Chapter Mapping'!$E$4:$E$100)*100,""))</f>
        <v/>
      </c>
      <c r="Q8" s="59" t="str">
        <f>IF($A8="","",IFERROR(K8/'Assessment Structure'!$D$11*100,""))</f>
        <v/>
      </c>
      <c r="R8" s="59" t="str">
        <f>IF($A8="","",IFERROR(L8/'Assessment Structure'!$D$12*100,""))</f>
        <v/>
      </c>
      <c r="S8" s="59" t="str">
        <f>IF($A8="","",IFERROR(M8/'Assessment Structure'!$D$13*100,""))</f>
        <v/>
      </c>
      <c r="T8" s="59" t="str">
        <f>IF($A8="","",IFERROR(N8/'Assessment Structure'!$D$14*100,""))</f>
        <v/>
      </c>
      <c r="U8" s="59" t="str">
        <f>IF($A8="","",O8/100*'Assessment Structure'!$C$9+P8/100*'Assessment Structure'!$C$10+Q8/100*'Assessment Structure'!$C$11+R8/100*'Assessment Structure'!$C$12+S8/100*'Assessment Structure'!$C$13+T8/100*'Assessment Structure'!$C$14)</f>
        <v/>
      </c>
      <c r="V8" s="60" t="str">
        <f>IF($A8="","",IFERROR(U8/'Assessment Structure'!$B$4*100,""))</f>
        <v/>
      </c>
    </row>
    <row r="9" spans="1:22">
      <c r="A9" s="3"/>
      <c r="B9" s="8"/>
      <c r="C9" s="8"/>
      <c r="D9" s="8"/>
      <c r="E9" s="8"/>
      <c r="F9" s="8"/>
      <c r="G9" s="8"/>
      <c r="H9" s="8"/>
      <c r="I9" s="8"/>
      <c r="J9" s="8"/>
      <c r="K9" s="8"/>
      <c r="L9" s="8"/>
      <c r="M9" s="8"/>
      <c r="N9" s="4"/>
      <c r="O9" s="58" t="str">
        <f>IF($A9="","",IFERROR(SUM(C9:F9)/SUMIF('Question-Chapter Mapping'!$B$4:$B$100,"Test 1",'Question-Chapter Mapping'!$E$4:$E$100)*100,""))</f>
        <v/>
      </c>
      <c r="P9" s="59" t="str">
        <f>IF($A9="","",IFERROR(SUM(G9:J9)/SUMIF('Question-Chapter Mapping'!$B$4:$B$100,"Test 2",'Question-Chapter Mapping'!$E$4:$E$100)*100,""))</f>
        <v/>
      </c>
      <c r="Q9" s="59" t="str">
        <f>IF($A9="","",IFERROR(K9/'Assessment Structure'!$D$11*100,""))</f>
        <v/>
      </c>
      <c r="R9" s="59" t="str">
        <f>IF($A9="","",IFERROR(L9/'Assessment Structure'!$D$12*100,""))</f>
        <v/>
      </c>
      <c r="S9" s="59" t="str">
        <f>IF($A9="","",IFERROR(M9/'Assessment Structure'!$D$13*100,""))</f>
        <v/>
      </c>
      <c r="T9" s="59" t="str">
        <f>IF($A9="","",IFERROR(N9/'Assessment Structure'!$D$14*100,""))</f>
        <v/>
      </c>
      <c r="U9" s="59" t="str">
        <f>IF($A9="","",O9/100*'Assessment Structure'!$C$9+P9/100*'Assessment Structure'!$C$10+Q9/100*'Assessment Structure'!$C$11+R9/100*'Assessment Structure'!$C$12+S9/100*'Assessment Structure'!$C$13+T9/100*'Assessment Structure'!$C$14)</f>
        <v/>
      </c>
      <c r="V9" s="60" t="str">
        <f>IF($A9="","",IFERROR(U9/'Assessment Structure'!$B$4*100,""))</f>
        <v/>
      </c>
    </row>
    <row r="10" spans="1:22">
      <c r="A10" s="3"/>
      <c r="B10" s="8"/>
      <c r="C10" s="8"/>
      <c r="D10" s="8"/>
      <c r="E10" s="8"/>
      <c r="F10" s="8"/>
      <c r="G10" s="8"/>
      <c r="H10" s="8"/>
      <c r="I10" s="8"/>
      <c r="J10" s="8"/>
      <c r="K10" s="8"/>
      <c r="L10" s="8"/>
      <c r="M10" s="8"/>
      <c r="N10" s="4"/>
      <c r="O10" s="58" t="str">
        <f>IF($A10="","",IFERROR(SUM(C10:F10)/SUMIF('Question-Chapter Mapping'!$B$4:$B$100,"Test 1",'Question-Chapter Mapping'!$E$4:$E$100)*100,""))</f>
        <v/>
      </c>
      <c r="P10" s="59" t="str">
        <f>IF($A10="","",IFERROR(SUM(G10:J10)/SUMIF('Question-Chapter Mapping'!$B$4:$B$100,"Test 2",'Question-Chapter Mapping'!$E$4:$E$100)*100,""))</f>
        <v/>
      </c>
      <c r="Q10" s="59" t="str">
        <f>IF($A10="","",IFERROR(K10/'Assessment Structure'!$D$11*100,""))</f>
        <v/>
      </c>
      <c r="R10" s="59" t="str">
        <f>IF($A10="","",IFERROR(L10/'Assessment Structure'!$D$12*100,""))</f>
        <v/>
      </c>
      <c r="S10" s="59" t="str">
        <f>IF($A10="","",IFERROR(M10/'Assessment Structure'!$D$13*100,""))</f>
        <v/>
      </c>
      <c r="T10" s="59" t="str">
        <f>IF($A10="","",IFERROR(N10/'Assessment Structure'!$D$14*100,""))</f>
        <v/>
      </c>
      <c r="U10" s="59" t="str">
        <f>IF($A10="","",O10/100*'Assessment Structure'!$C$9+P10/100*'Assessment Structure'!$C$10+Q10/100*'Assessment Structure'!$C$11+R10/100*'Assessment Structure'!$C$12+S10/100*'Assessment Structure'!$C$13+T10/100*'Assessment Structure'!$C$14)</f>
        <v/>
      </c>
      <c r="V10" s="60" t="str">
        <f>IF($A10="","",IFERROR(U10/'Assessment Structure'!$B$4*100,""))</f>
        <v/>
      </c>
    </row>
    <row r="11" spans="1:22">
      <c r="A11" s="3"/>
      <c r="B11" s="8"/>
      <c r="C11" s="8"/>
      <c r="D11" s="8"/>
      <c r="E11" s="8"/>
      <c r="F11" s="8"/>
      <c r="G11" s="8"/>
      <c r="H11" s="8"/>
      <c r="I11" s="8"/>
      <c r="J11" s="8"/>
      <c r="K11" s="8"/>
      <c r="L11" s="8"/>
      <c r="M11" s="8"/>
      <c r="N11" s="4"/>
      <c r="O11" s="58" t="str">
        <f>IF($A11="","",IFERROR(SUM(C11:F11)/SUMIF('Question-Chapter Mapping'!$B$4:$B$100,"Test 1",'Question-Chapter Mapping'!$E$4:$E$100)*100,""))</f>
        <v/>
      </c>
      <c r="P11" s="59" t="str">
        <f>IF($A11="","",IFERROR(SUM(G11:J11)/SUMIF('Question-Chapter Mapping'!$B$4:$B$100,"Test 2",'Question-Chapter Mapping'!$E$4:$E$100)*100,""))</f>
        <v/>
      </c>
      <c r="Q11" s="59" t="str">
        <f>IF($A11="","",IFERROR(K11/'Assessment Structure'!$D$11*100,""))</f>
        <v/>
      </c>
      <c r="R11" s="59" t="str">
        <f>IF($A11="","",IFERROR(L11/'Assessment Structure'!$D$12*100,""))</f>
        <v/>
      </c>
      <c r="S11" s="59" t="str">
        <f>IF($A11="","",IFERROR(M11/'Assessment Structure'!$D$13*100,""))</f>
        <v/>
      </c>
      <c r="T11" s="59" t="str">
        <f>IF($A11="","",IFERROR(N11/'Assessment Structure'!$D$14*100,""))</f>
        <v/>
      </c>
      <c r="U11" s="59" t="str">
        <f>IF($A11="","",O11/100*'Assessment Structure'!$C$9+P11/100*'Assessment Structure'!$C$10+Q11/100*'Assessment Structure'!$C$11+R11/100*'Assessment Structure'!$C$12+S11/100*'Assessment Structure'!$C$13+T11/100*'Assessment Structure'!$C$14)</f>
        <v/>
      </c>
      <c r="V11" s="60" t="str">
        <f>IF($A11="","",IFERROR(U11/'Assessment Structure'!$B$4*100,""))</f>
        <v/>
      </c>
    </row>
    <row r="12" spans="1:22">
      <c r="A12" s="3"/>
      <c r="B12" s="8"/>
      <c r="C12" s="8"/>
      <c r="D12" s="8"/>
      <c r="E12" s="8"/>
      <c r="F12" s="8"/>
      <c r="G12" s="8"/>
      <c r="H12" s="8"/>
      <c r="I12" s="8"/>
      <c r="J12" s="8"/>
      <c r="K12" s="8"/>
      <c r="L12" s="8"/>
      <c r="M12" s="8"/>
      <c r="N12" s="4"/>
      <c r="O12" s="58" t="str">
        <f>IF($A12="","",IFERROR(SUM(C12:F12)/SUMIF('Question-Chapter Mapping'!$B$4:$B$100,"Test 1",'Question-Chapter Mapping'!$E$4:$E$100)*100,""))</f>
        <v/>
      </c>
      <c r="P12" s="59" t="str">
        <f>IF($A12="","",IFERROR(SUM(G12:J12)/SUMIF('Question-Chapter Mapping'!$B$4:$B$100,"Test 2",'Question-Chapter Mapping'!$E$4:$E$100)*100,""))</f>
        <v/>
      </c>
      <c r="Q12" s="59" t="str">
        <f>IF($A12="","",IFERROR(K12/'Assessment Structure'!$D$11*100,""))</f>
        <v/>
      </c>
      <c r="R12" s="59" t="str">
        <f>IF($A12="","",IFERROR(L12/'Assessment Structure'!$D$12*100,""))</f>
        <v/>
      </c>
      <c r="S12" s="59" t="str">
        <f>IF($A12="","",IFERROR(M12/'Assessment Structure'!$D$13*100,""))</f>
        <v/>
      </c>
      <c r="T12" s="59" t="str">
        <f>IF($A12="","",IFERROR(N12/'Assessment Structure'!$D$14*100,""))</f>
        <v/>
      </c>
      <c r="U12" s="59" t="str">
        <f>IF($A12="","",O12/100*'Assessment Structure'!$C$9+P12/100*'Assessment Structure'!$C$10+Q12/100*'Assessment Structure'!$C$11+R12/100*'Assessment Structure'!$C$12+S12/100*'Assessment Structure'!$C$13+T12/100*'Assessment Structure'!$C$14)</f>
        <v/>
      </c>
      <c r="V12" s="60" t="str">
        <f>IF($A12="","",IFERROR(U12/'Assessment Structure'!$B$4*100,""))</f>
        <v/>
      </c>
    </row>
    <row r="13" spans="1:22">
      <c r="A13" s="3"/>
      <c r="B13" s="8"/>
      <c r="C13" s="8"/>
      <c r="D13" s="8"/>
      <c r="E13" s="8"/>
      <c r="F13" s="8"/>
      <c r="G13" s="8"/>
      <c r="H13" s="8"/>
      <c r="I13" s="8"/>
      <c r="J13" s="8"/>
      <c r="K13" s="8"/>
      <c r="L13" s="8"/>
      <c r="M13" s="8"/>
      <c r="N13" s="4"/>
      <c r="O13" s="58" t="str">
        <f>IF($A13="","",IFERROR(SUM(C13:F13)/SUMIF('Question-Chapter Mapping'!$B$4:$B$100,"Test 1",'Question-Chapter Mapping'!$E$4:$E$100)*100,""))</f>
        <v/>
      </c>
      <c r="P13" s="59" t="str">
        <f>IF($A13="","",IFERROR(SUM(G13:J13)/SUMIF('Question-Chapter Mapping'!$B$4:$B$100,"Test 2",'Question-Chapter Mapping'!$E$4:$E$100)*100,""))</f>
        <v/>
      </c>
      <c r="Q13" s="59" t="str">
        <f>IF($A13="","",IFERROR(K13/'Assessment Structure'!$D$11*100,""))</f>
        <v/>
      </c>
      <c r="R13" s="59" t="str">
        <f>IF($A13="","",IFERROR(L13/'Assessment Structure'!$D$12*100,""))</f>
        <v/>
      </c>
      <c r="S13" s="59" t="str">
        <f>IF($A13="","",IFERROR(M13/'Assessment Structure'!$D$13*100,""))</f>
        <v/>
      </c>
      <c r="T13" s="59" t="str">
        <f>IF($A13="","",IFERROR(N13/'Assessment Structure'!$D$14*100,""))</f>
        <v/>
      </c>
      <c r="U13" s="59" t="str">
        <f>IF($A13="","",O13/100*'Assessment Structure'!$C$9+P13/100*'Assessment Structure'!$C$10+Q13/100*'Assessment Structure'!$C$11+R13/100*'Assessment Structure'!$C$12+S13/100*'Assessment Structure'!$C$13+T13/100*'Assessment Structure'!$C$14)</f>
        <v/>
      </c>
      <c r="V13" s="60" t="str">
        <f>IF($A13="","",IFERROR(U13/'Assessment Structure'!$B$4*100,""))</f>
        <v/>
      </c>
    </row>
    <row r="14" spans="1:22">
      <c r="A14" s="3"/>
      <c r="B14" s="8"/>
      <c r="C14" s="8"/>
      <c r="D14" s="8"/>
      <c r="E14" s="8"/>
      <c r="F14" s="8"/>
      <c r="G14" s="8"/>
      <c r="H14" s="8"/>
      <c r="I14" s="8"/>
      <c r="J14" s="8"/>
      <c r="K14" s="8"/>
      <c r="L14" s="8"/>
      <c r="M14" s="8"/>
      <c r="N14" s="4"/>
      <c r="O14" s="58" t="str">
        <f>IF($A14="","",IFERROR(SUM(C14:F14)/SUMIF('Question-Chapter Mapping'!$B$4:$B$100,"Test 1",'Question-Chapter Mapping'!$E$4:$E$100)*100,""))</f>
        <v/>
      </c>
      <c r="P14" s="59" t="str">
        <f>IF($A14="","",IFERROR(SUM(G14:J14)/SUMIF('Question-Chapter Mapping'!$B$4:$B$100,"Test 2",'Question-Chapter Mapping'!$E$4:$E$100)*100,""))</f>
        <v/>
      </c>
      <c r="Q14" s="59" t="str">
        <f>IF($A14="","",IFERROR(K14/'Assessment Structure'!$D$11*100,""))</f>
        <v/>
      </c>
      <c r="R14" s="59" t="str">
        <f>IF($A14="","",IFERROR(L14/'Assessment Structure'!$D$12*100,""))</f>
        <v/>
      </c>
      <c r="S14" s="59" t="str">
        <f>IF($A14="","",IFERROR(M14/'Assessment Structure'!$D$13*100,""))</f>
        <v/>
      </c>
      <c r="T14" s="59" t="str">
        <f>IF($A14="","",IFERROR(N14/'Assessment Structure'!$D$14*100,""))</f>
        <v/>
      </c>
      <c r="U14" s="59" t="str">
        <f>IF($A14="","",O14/100*'Assessment Structure'!$C$9+P14/100*'Assessment Structure'!$C$10+Q14/100*'Assessment Structure'!$C$11+R14/100*'Assessment Structure'!$C$12+S14/100*'Assessment Structure'!$C$13+T14/100*'Assessment Structure'!$C$14)</f>
        <v/>
      </c>
      <c r="V14" s="60" t="str">
        <f>IF($A14="","",IFERROR(U14/'Assessment Structure'!$B$4*100,""))</f>
        <v/>
      </c>
    </row>
    <row r="15" spans="1:22">
      <c r="A15" s="3"/>
      <c r="B15" s="8"/>
      <c r="C15" s="8"/>
      <c r="D15" s="8"/>
      <c r="E15" s="8"/>
      <c r="F15" s="8"/>
      <c r="G15" s="8"/>
      <c r="H15" s="8"/>
      <c r="I15" s="8"/>
      <c r="J15" s="8"/>
      <c r="K15" s="8"/>
      <c r="L15" s="8"/>
      <c r="M15" s="8"/>
      <c r="N15" s="4"/>
      <c r="O15" s="58" t="str">
        <f>IF($A15="","",IFERROR(SUM(C15:F15)/SUMIF('Question-Chapter Mapping'!$B$4:$B$100,"Test 1",'Question-Chapter Mapping'!$E$4:$E$100)*100,""))</f>
        <v/>
      </c>
      <c r="P15" s="59" t="str">
        <f>IF($A15="","",IFERROR(SUM(G15:J15)/SUMIF('Question-Chapter Mapping'!$B$4:$B$100,"Test 2",'Question-Chapter Mapping'!$E$4:$E$100)*100,""))</f>
        <v/>
      </c>
      <c r="Q15" s="59" t="str">
        <f>IF($A15="","",IFERROR(K15/'Assessment Structure'!$D$11*100,""))</f>
        <v/>
      </c>
      <c r="R15" s="59" t="str">
        <f>IF($A15="","",IFERROR(L15/'Assessment Structure'!$D$12*100,""))</f>
        <v/>
      </c>
      <c r="S15" s="59" t="str">
        <f>IF($A15="","",IFERROR(M15/'Assessment Structure'!$D$13*100,""))</f>
        <v/>
      </c>
      <c r="T15" s="59" t="str">
        <f>IF($A15="","",IFERROR(N15/'Assessment Structure'!$D$14*100,""))</f>
        <v/>
      </c>
      <c r="U15" s="59" t="str">
        <f>IF($A15="","",O15/100*'Assessment Structure'!$C$9+P15/100*'Assessment Structure'!$C$10+Q15/100*'Assessment Structure'!$C$11+R15/100*'Assessment Structure'!$C$12+S15/100*'Assessment Structure'!$C$13+T15/100*'Assessment Structure'!$C$14)</f>
        <v/>
      </c>
      <c r="V15" s="60" t="str">
        <f>IF($A15="","",IFERROR(U15/'Assessment Structure'!$B$4*100,""))</f>
        <v/>
      </c>
    </row>
    <row r="16" spans="1:22">
      <c r="A16" s="3"/>
      <c r="B16" s="8"/>
      <c r="C16" s="8"/>
      <c r="D16" s="8"/>
      <c r="E16" s="8"/>
      <c r="F16" s="8"/>
      <c r="G16" s="8"/>
      <c r="H16" s="8"/>
      <c r="I16" s="8"/>
      <c r="J16" s="8"/>
      <c r="K16" s="8"/>
      <c r="L16" s="8"/>
      <c r="M16" s="8"/>
      <c r="N16" s="4"/>
      <c r="O16" s="58" t="str">
        <f>IF($A16="","",IFERROR(SUM(C16:F16)/SUMIF('Question-Chapter Mapping'!$B$4:$B$100,"Test 1",'Question-Chapter Mapping'!$E$4:$E$100)*100,""))</f>
        <v/>
      </c>
      <c r="P16" s="59" t="str">
        <f>IF($A16="","",IFERROR(SUM(G16:J16)/SUMIF('Question-Chapter Mapping'!$B$4:$B$100,"Test 2",'Question-Chapter Mapping'!$E$4:$E$100)*100,""))</f>
        <v/>
      </c>
      <c r="Q16" s="59" t="str">
        <f>IF($A16="","",IFERROR(K16/'Assessment Structure'!$D$11*100,""))</f>
        <v/>
      </c>
      <c r="R16" s="59" t="str">
        <f>IF($A16="","",IFERROR(L16/'Assessment Structure'!$D$12*100,""))</f>
        <v/>
      </c>
      <c r="S16" s="59" t="str">
        <f>IF($A16="","",IFERROR(M16/'Assessment Structure'!$D$13*100,""))</f>
        <v/>
      </c>
      <c r="T16" s="59" t="str">
        <f>IF($A16="","",IFERROR(N16/'Assessment Structure'!$D$14*100,""))</f>
        <v/>
      </c>
      <c r="U16" s="59" t="str">
        <f>IF($A16="","",O16/100*'Assessment Structure'!$C$9+P16/100*'Assessment Structure'!$C$10+Q16/100*'Assessment Structure'!$C$11+R16/100*'Assessment Structure'!$C$12+S16/100*'Assessment Structure'!$C$13+T16/100*'Assessment Structure'!$C$14)</f>
        <v/>
      </c>
      <c r="V16" s="60" t="str">
        <f>IF($A16="","",IFERROR(U16/'Assessment Structure'!$B$4*100,""))</f>
        <v/>
      </c>
    </row>
    <row r="17" spans="1:22">
      <c r="A17" s="3"/>
      <c r="B17" s="8"/>
      <c r="C17" s="8"/>
      <c r="D17" s="8"/>
      <c r="E17" s="8"/>
      <c r="F17" s="8"/>
      <c r="G17" s="8"/>
      <c r="H17" s="8"/>
      <c r="I17" s="8"/>
      <c r="J17" s="8"/>
      <c r="K17" s="8"/>
      <c r="L17" s="8"/>
      <c r="M17" s="8"/>
      <c r="N17" s="4"/>
      <c r="O17" s="58" t="str">
        <f>IF($A17="","",IFERROR(SUM(C17:F17)/SUMIF('Question-Chapter Mapping'!$B$4:$B$100,"Test 1",'Question-Chapter Mapping'!$E$4:$E$100)*100,""))</f>
        <v/>
      </c>
      <c r="P17" s="59" t="str">
        <f>IF($A17="","",IFERROR(SUM(G17:J17)/SUMIF('Question-Chapter Mapping'!$B$4:$B$100,"Test 2",'Question-Chapter Mapping'!$E$4:$E$100)*100,""))</f>
        <v/>
      </c>
      <c r="Q17" s="59" t="str">
        <f>IF($A17="","",IFERROR(K17/'Assessment Structure'!$D$11*100,""))</f>
        <v/>
      </c>
      <c r="R17" s="59" t="str">
        <f>IF($A17="","",IFERROR(L17/'Assessment Structure'!$D$12*100,""))</f>
        <v/>
      </c>
      <c r="S17" s="59" t="str">
        <f>IF($A17="","",IFERROR(M17/'Assessment Structure'!$D$13*100,""))</f>
        <v/>
      </c>
      <c r="T17" s="59" t="str">
        <f>IF($A17="","",IFERROR(N17/'Assessment Structure'!$D$14*100,""))</f>
        <v/>
      </c>
      <c r="U17" s="59" t="str">
        <f>IF($A17="","",O17/100*'Assessment Structure'!$C$9+P17/100*'Assessment Structure'!$C$10+Q17/100*'Assessment Structure'!$C$11+R17/100*'Assessment Structure'!$C$12+S17/100*'Assessment Structure'!$C$13+T17/100*'Assessment Structure'!$C$14)</f>
        <v/>
      </c>
      <c r="V17" s="60" t="str">
        <f>IF($A17="","",IFERROR(U17/'Assessment Structure'!$B$4*100,""))</f>
        <v/>
      </c>
    </row>
    <row r="18" spans="1:22">
      <c r="A18" s="3"/>
      <c r="B18" s="8"/>
      <c r="C18" s="8"/>
      <c r="D18" s="8"/>
      <c r="E18" s="8"/>
      <c r="F18" s="8"/>
      <c r="G18" s="8"/>
      <c r="H18" s="8"/>
      <c r="I18" s="8"/>
      <c r="J18" s="8"/>
      <c r="K18" s="8"/>
      <c r="L18" s="8"/>
      <c r="M18" s="8"/>
      <c r="N18" s="4"/>
      <c r="O18" s="58" t="str">
        <f>IF($A18="","",IFERROR(SUM(C18:F18)/SUMIF('Question-Chapter Mapping'!$B$4:$B$100,"Test 1",'Question-Chapter Mapping'!$E$4:$E$100)*100,""))</f>
        <v/>
      </c>
      <c r="P18" s="59" t="str">
        <f>IF($A18="","",IFERROR(SUM(G18:J18)/SUMIF('Question-Chapter Mapping'!$B$4:$B$100,"Test 2",'Question-Chapter Mapping'!$E$4:$E$100)*100,""))</f>
        <v/>
      </c>
      <c r="Q18" s="59" t="str">
        <f>IF($A18="","",IFERROR(K18/'Assessment Structure'!$D$11*100,""))</f>
        <v/>
      </c>
      <c r="R18" s="59" t="str">
        <f>IF($A18="","",IFERROR(L18/'Assessment Structure'!$D$12*100,""))</f>
        <v/>
      </c>
      <c r="S18" s="59" t="str">
        <f>IF($A18="","",IFERROR(M18/'Assessment Structure'!$D$13*100,""))</f>
        <v/>
      </c>
      <c r="T18" s="59" t="str">
        <f>IF($A18="","",IFERROR(N18/'Assessment Structure'!$D$14*100,""))</f>
        <v/>
      </c>
      <c r="U18" s="59" t="str">
        <f>IF($A18="","",O18/100*'Assessment Structure'!$C$9+P18/100*'Assessment Structure'!$C$10+Q18/100*'Assessment Structure'!$C$11+R18/100*'Assessment Structure'!$C$12+S18/100*'Assessment Structure'!$C$13+T18/100*'Assessment Structure'!$C$14)</f>
        <v/>
      </c>
      <c r="V18" s="60" t="str">
        <f>IF($A18="","",IFERROR(U18/'Assessment Structure'!$B$4*100,""))</f>
        <v/>
      </c>
    </row>
    <row r="19" spans="1:22">
      <c r="A19" s="3"/>
      <c r="B19" s="8"/>
      <c r="C19" s="8"/>
      <c r="D19" s="8"/>
      <c r="E19" s="8"/>
      <c r="F19" s="8"/>
      <c r="G19" s="8"/>
      <c r="H19" s="8"/>
      <c r="I19" s="8"/>
      <c r="J19" s="8"/>
      <c r="K19" s="8"/>
      <c r="L19" s="8"/>
      <c r="M19" s="8"/>
      <c r="N19" s="4"/>
      <c r="O19" s="58" t="str">
        <f>IF($A19="","",IFERROR(SUM(C19:F19)/SUMIF('Question-Chapter Mapping'!$B$4:$B$100,"Test 1",'Question-Chapter Mapping'!$E$4:$E$100)*100,""))</f>
        <v/>
      </c>
      <c r="P19" s="59" t="str">
        <f>IF($A19="","",IFERROR(SUM(G19:J19)/SUMIF('Question-Chapter Mapping'!$B$4:$B$100,"Test 2",'Question-Chapter Mapping'!$E$4:$E$100)*100,""))</f>
        <v/>
      </c>
      <c r="Q19" s="59" t="str">
        <f>IF($A19="","",IFERROR(K19/'Assessment Structure'!$D$11*100,""))</f>
        <v/>
      </c>
      <c r="R19" s="59" t="str">
        <f>IF($A19="","",IFERROR(L19/'Assessment Structure'!$D$12*100,""))</f>
        <v/>
      </c>
      <c r="S19" s="59" t="str">
        <f>IF($A19="","",IFERROR(M19/'Assessment Structure'!$D$13*100,""))</f>
        <v/>
      </c>
      <c r="T19" s="59" t="str">
        <f>IF($A19="","",IFERROR(N19/'Assessment Structure'!$D$14*100,""))</f>
        <v/>
      </c>
      <c r="U19" s="59" t="str">
        <f>IF($A19="","",O19/100*'Assessment Structure'!$C$9+P19/100*'Assessment Structure'!$C$10+Q19/100*'Assessment Structure'!$C$11+R19/100*'Assessment Structure'!$C$12+S19/100*'Assessment Structure'!$C$13+T19/100*'Assessment Structure'!$C$14)</f>
        <v/>
      </c>
      <c r="V19" s="60" t="str">
        <f>IF($A19="","",IFERROR(U19/'Assessment Structure'!$B$4*100,""))</f>
        <v/>
      </c>
    </row>
    <row r="20" spans="1:22">
      <c r="A20" s="3"/>
      <c r="B20" s="8"/>
      <c r="C20" s="8"/>
      <c r="D20" s="8"/>
      <c r="E20" s="8"/>
      <c r="F20" s="8"/>
      <c r="G20" s="8"/>
      <c r="H20" s="8"/>
      <c r="I20" s="8"/>
      <c r="J20" s="8"/>
      <c r="K20" s="8"/>
      <c r="L20" s="8"/>
      <c r="M20" s="8"/>
      <c r="N20" s="4"/>
      <c r="O20" s="58" t="str">
        <f>IF($A20="","",IFERROR(SUM(C20:F20)/SUMIF('Question-Chapter Mapping'!$B$4:$B$100,"Test 1",'Question-Chapter Mapping'!$E$4:$E$100)*100,""))</f>
        <v/>
      </c>
      <c r="P20" s="59" t="str">
        <f>IF($A20="","",IFERROR(SUM(G20:J20)/SUMIF('Question-Chapter Mapping'!$B$4:$B$100,"Test 2",'Question-Chapter Mapping'!$E$4:$E$100)*100,""))</f>
        <v/>
      </c>
      <c r="Q20" s="59" t="str">
        <f>IF($A20="","",IFERROR(K20/'Assessment Structure'!$D$11*100,""))</f>
        <v/>
      </c>
      <c r="R20" s="59" t="str">
        <f>IF($A20="","",IFERROR(L20/'Assessment Structure'!$D$12*100,""))</f>
        <v/>
      </c>
      <c r="S20" s="59" t="str">
        <f>IF($A20="","",IFERROR(M20/'Assessment Structure'!$D$13*100,""))</f>
        <v/>
      </c>
      <c r="T20" s="59" t="str">
        <f>IF($A20="","",IFERROR(N20/'Assessment Structure'!$D$14*100,""))</f>
        <v/>
      </c>
      <c r="U20" s="59" t="str">
        <f>IF($A20="","",O20/100*'Assessment Structure'!$C$9+P20/100*'Assessment Structure'!$C$10+Q20/100*'Assessment Structure'!$C$11+R20/100*'Assessment Structure'!$C$12+S20/100*'Assessment Structure'!$C$13+T20/100*'Assessment Structure'!$C$14)</f>
        <v/>
      </c>
      <c r="V20" s="60" t="str">
        <f>IF($A20="","",IFERROR(U20/'Assessment Structure'!$B$4*100,""))</f>
        <v/>
      </c>
    </row>
    <row r="21" spans="1:22">
      <c r="A21" s="3"/>
      <c r="B21" s="8"/>
      <c r="C21" s="8"/>
      <c r="D21" s="8"/>
      <c r="E21" s="8"/>
      <c r="F21" s="8"/>
      <c r="G21" s="8"/>
      <c r="H21" s="8"/>
      <c r="I21" s="8"/>
      <c r="J21" s="8"/>
      <c r="K21" s="8"/>
      <c r="L21" s="8"/>
      <c r="M21" s="8"/>
      <c r="N21" s="4"/>
      <c r="O21" s="58" t="str">
        <f>IF($A21="","",IFERROR(SUM(C21:F21)/SUMIF('Question-Chapter Mapping'!$B$4:$B$100,"Test 1",'Question-Chapter Mapping'!$E$4:$E$100)*100,""))</f>
        <v/>
      </c>
      <c r="P21" s="59" t="str">
        <f>IF($A21="","",IFERROR(SUM(G21:J21)/SUMIF('Question-Chapter Mapping'!$B$4:$B$100,"Test 2",'Question-Chapter Mapping'!$E$4:$E$100)*100,""))</f>
        <v/>
      </c>
      <c r="Q21" s="59" t="str">
        <f>IF($A21="","",IFERROR(K21/'Assessment Structure'!$D$11*100,""))</f>
        <v/>
      </c>
      <c r="R21" s="59" t="str">
        <f>IF($A21="","",IFERROR(L21/'Assessment Structure'!$D$12*100,""))</f>
        <v/>
      </c>
      <c r="S21" s="59" t="str">
        <f>IF($A21="","",IFERROR(M21/'Assessment Structure'!$D$13*100,""))</f>
        <v/>
      </c>
      <c r="T21" s="59" t="str">
        <f>IF($A21="","",IFERROR(N21/'Assessment Structure'!$D$14*100,""))</f>
        <v/>
      </c>
      <c r="U21" s="59" t="str">
        <f>IF($A21="","",O21/100*'Assessment Structure'!$C$9+P21/100*'Assessment Structure'!$C$10+Q21/100*'Assessment Structure'!$C$11+R21/100*'Assessment Structure'!$C$12+S21/100*'Assessment Structure'!$C$13+T21/100*'Assessment Structure'!$C$14)</f>
        <v/>
      </c>
      <c r="V21" s="60" t="str">
        <f>IF($A21="","",IFERROR(U21/'Assessment Structure'!$B$4*100,""))</f>
        <v/>
      </c>
    </row>
    <row r="22" spans="1:22">
      <c r="A22" s="3"/>
      <c r="B22" s="8"/>
      <c r="C22" s="8"/>
      <c r="D22" s="8"/>
      <c r="E22" s="8"/>
      <c r="F22" s="8"/>
      <c r="G22" s="8"/>
      <c r="H22" s="8"/>
      <c r="I22" s="8"/>
      <c r="J22" s="8"/>
      <c r="K22" s="8"/>
      <c r="L22" s="8"/>
      <c r="M22" s="8"/>
      <c r="N22" s="4"/>
      <c r="O22" s="58" t="str">
        <f>IF($A22="","",IFERROR(SUM(C22:F22)/SUMIF('Question-Chapter Mapping'!$B$4:$B$100,"Test 1",'Question-Chapter Mapping'!$E$4:$E$100)*100,""))</f>
        <v/>
      </c>
      <c r="P22" s="59" t="str">
        <f>IF($A22="","",IFERROR(SUM(G22:J22)/SUMIF('Question-Chapter Mapping'!$B$4:$B$100,"Test 2",'Question-Chapter Mapping'!$E$4:$E$100)*100,""))</f>
        <v/>
      </c>
      <c r="Q22" s="59" t="str">
        <f>IF($A22="","",IFERROR(K22/'Assessment Structure'!$D$11*100,""))</f>
        <v/>
      </c>
      <c r="R22" s="59" t="str">
        <f>IF($A22="","",IFERROR(L22/'Assessment Structure'!$D$12*100,""))</f>
        <v/>
      </c>
      <c r="S22" s="59" t="str">
        <f>IF($A22="","",IFERROR(M22/'Assessment Structure'!$D$13*100,""))</f>
        <v/>
      </c>
      <c r="T22" s="59" t="str">
        <f>IF($A22="","",IFERROR(N22/'Assessment Structure'!$D$14*100,""))</f>
        <v/>
      </c>
      <c r="U22" s="59" t="str">
        <f>IF($A22="","",O22/100*'Assessment Structure'!$C$9+P22/100*'Assessment Structure'!$C$10+Q22/100*'Assessment Structure'!$C$11+R22/100*'Assessment Structure'!$C$12+S22/100*'Assessment Structure'!$C$13+T22/100*'Assessment Structure'!$C$14)</f>
        <v/>
      </c>
      <c r="V22" s="60" t="str">
        <f>IF($A22="","",IFERROR(U22/'Assessment Structure'!$B$4*100,""))</f>
        <v/>
      </c>
    </row>
    <row r="23" spans="1:22">
      <c r="A23" s="3"/>
      <c r="B23" s="8"/>
      <c r="C23" s="8"/>
      <c r="D23" s="8"/>
      <c r="E23" s="8"/>
      <c r="F23" s="8"/>
      <c r="G23" s="8"/>
      <c r="H23" s="8"/>
      <c r="I23" s="8"/>
      <c r="J23" s="8"/>
      <c r="K23" s="8"/>
      <c r="L23" s="8"/>
      <c r="M23" s="8"/>
      <c r="N23" s="4"/>
      <c r="O23" s="58" t="str">
        <f>IF($A23="","",IFERROR(SUM(C23:F23)/SUMIF('Question-Chapter Mapping'!$B$4:$B$100,"Test 1",'Question-Chapter Mapping'!$E$4:$E$100)*100,""))</f>
        <v/>
      </c>
      <c r="P23" s="59" t="str">
        <f>IF($A23="","",IFERROR(SUM(G23:J23)/SUMIF('Question-Chapter Mapping'!$B$4:$B$100,"Test 2",'Question-Chapter Mapping'!$E$4:$E$100)*100,""))</f>
        <v/>
      </c>
      <c r="Q23" s="59" t="str">
        <f>IF($A23="","",IFERROR(K23/'Assessment Structure'!$D$11*100,""))</f>
        <v/>
      </c>
      <c r="R23" s="59" t="str">
        <f>IF($A23="","",IFERROR(L23/'Assessment Structure'!$D$12*100,""))</f>
        <v/>
      </c>
      <c r="S23" s="59" t="str">
        <f>IF($A23="","",IFERROR(M23/'Assessment Structure'!$D$13*100,""))</f>
        <v/>
      </c>
      <c r="T23" s="59" t="str">
        <f>IF($A23="","",IFERROR(N23/'Assessment Structure'!$D$14*100,""))</f>
        <v/>
      </c>
      <c r="U23" s="59" t="str">
        <f>IF($A23="","",O23/100*'Assessment Structure'!$C$9+P23/100*'Assessment Structure'!$C$10+Q23/100*'Assessment Structure'!$C$11+R23/100*'Assessment Structure'!$C$12+S23/100*'Assessment Structure'!$C$13+T23/100*'Assessment Structure'!$C$14)</f>
        <v/>
      </c>
      <c r="V23" s="60" t="str">
        <f>IF($A23="","",IFERROR(U23/'Assessment Structure'!$B$4*100,""))</f>
        <v/>
      </c>
    </row>
    <row r="24" spans="1:22">
      <c r="A24" s="3"/>
      <c r="B24" s="8"/>
      <c r="C24" s="8"/>
      <c r="D24" s="8"/>
      <c r="E24" s="8"/>
      <c r="F24" s="8"/>
      <c r="G24" s="8"/>
      <c r="H24" s="8"/>
      <c r="I24" s="8"/>
      <c r="J24" s="8"/>
      <c r="K24" s="8"/>
      <c r="L24" s="8"/>
      <c r="M24" s="8"/>
      <c r="N24" s="4"/>
      <c r="O24" s="58" t="str">
        <f>IF($A24="","",IFERROR(SUM(C24:F24)/SUMIF('Question-Chapter Mapping'!$B$4:$B$100,"Test 1",'Question-Chapter Mapping'!$E$4:$E$100)*100,""))</f>
        <v/>
      </c>
      <c r="P24" s="59" t="str">
        <f>IF($A24="","",IFERROR(SUM(G24:J24)/SUMIF('Question-Chapter Mapping'!$B$4:$B$100,"Test 2",'Question-Chapter Mapping'!$E$4:$E$100)*100,""))</f>
        <v/>
      </c>
      <c r="Q24" s="59" t="str">
        <f>IF($A24="","",IFERROR(K24/'Assessment Structure'!$D$11*100,""))</f>
        <v/>
      </c>
      <c r="R24" s="59" t="str">
        <f>IF($A24="","",IFERROR(L24/'Assessment Structure'!$D$12*100,""))</f>
        <v/>
      </c>
      <c r="S24" s="59" t="str">
        <f>IF($A24="","",IFERROR(M24/'Assessment Structure'!$D$13*100,""))</f>
        <v/>
      </c>
      <c r="T24" s="59" t="str">
        <f>IF($A24="","",IFERROR(N24/'Assessment Structure'!$D$14*100,""))</f>
        <v/>
      </c>
      <c r="U24" s="59" t="str">
        <f>IF($A24="","",O24/100*'Assessment Structure'!$C$9+P24/100*'Assessment Structure'!$C$10+Q24/100*'Assessment Structure'!$C$11+R24/100*'Assessment Structure'!$C$12+S24/100*'Assessment Structure'!$C$13+T24/100*'Assessment Structure'!$C$14)</f>
        <v/>
      </c>
      <c r="V24" s="60" t="str">
        <f>IF($A24="","",IFERROR(U24/'Assessment Structure'!$B$4*100,""))</f>
        <v/>
      </c>
    </row>
    <row r="25" spans="1:22">
      <c r="A25" s="3"/>
      <c r="B25" s="8"/>
      <c r="C25" s="8"/>
      <c r="D25" s="8"/>
      <c r="E25" s="8"/>
      <c r="F25" s="8"/>
      <c r="G25" s="8"/>
      <c r="H25" s="8"/>
      <c r="I25" s="8"/>
      <c r="J25" s="8"/>
      <c r="K25" s="8"/>
      <c r="L25" s="8"/>
      <c r="M25" s="8"/>
      <c r="N25" s="4"/>
      <c r="O25" s="58" t="str">
        <f>IF($A25="","",IFERROR(SUM(C25:F25)/SUMIF('Question-Chapter Mapping'!$B$4:$B$100,"Test 1",'Question-Chapter Mapping'!$E$4:$E$100)*100,""))</f>
        <v/>
      </c>
      <c r="P25" s="59" t="str">
        <f>IF($A25="","",IFERROR(SUM(G25:J25)/SUMIF('Question-Chapter Mapping'!$B$4:$B$100,"Test 2",'Question-Chapter Mapping'!$E$4:$E$100)*100,""))</f>
        <v/>
      </c>
      <c r="Q25" s="59" t="str">
        <f>IF($A25="","",IFERROR(K25/'Assessment Structure'!$D$11*100,""))</f>
        <v/>
      </c>
      <c r="R25" s="59" t="str">
        <f>IF($A25="","",IFERROR(L25/'Assessment Structure'!$D$12*100,""))</f>
        <v/>
      </c>
      <c r="S25" s="59" t="str">
        <f>IF($A25="","",IFERROR(M25/'Assessment Structure'!$D$13*100,""))</f>
        <v/>
      </c>
      <c r="T25" s="59" t="str">
        <f>IF($A25="","",IFERROR(N25/'Assessment Structure'!$D$14*100,""))</f>
        <v/>
      </c>
      <c r="U25" s="59" t="str">
        <f>IF($A25="","",O25/100*'Assessment Structure'!$C$9+P25/100*'Assessment Structure'!$C$10+Q25/100*'Assessment Structure'!$C$11+R25/100*'Assessment Structure'!$C$12+S25/100*'Assessment Structure'!$C$13+T25/100*'Assessment Structure'!$C$14)</f>
        <v/>
      </c>
      <c r="V25" s="60" t="str">
        <f>IF($A25="","",IFERROR(U25/'Assessment Structure'!$B$4*100,""))</f>
        <v/>
      </c>
    </row>
    <row r="26" spans="1:22">
      <c r="A26" s="3"/>
      <c r="B26" s="8"/>
      <c r="C26" s="8"/>
      <c r="D26" s="8"/>
      <c r="E26" s="8"/>
      <c r="F26" s="8"/>
      <c r="G26" s="8"/>
      <c r="H26" s="8"/>
      <c r="I26" s="8"/>
      <c r="J26" s="8"/>
      <c r="K26" s="8"/>
      <c r="L26" s="8"/>
      <c r="M26" s="8"/>
      <c r="N26" s="4"/>
      <c r="O26" s="58" t="str">
        <f>IF($A26="","",IFERROR(SUM(C26:F26)/SUMIF('Question-Chapter Mapping'!$B$4:$B$100,"Test 1",'Question-Chapter Mapping'!$E$4:$E$100)*100,""))</f>
        <v/>
      </c>
      <c r="P26" s="59" t="str">
        <f>IF($A26="","",IFERROR(SUM(G26:J26)/SUMIF('Question-Chapter Mapping'!$B$4:$B$100,"Test 2",'Question-Chapter Mapping'!$E$4:$E$100)*100,""))</f>
        <v/>
      </c>
      <c r="Q26" s="59" t="str">
        <f>IF($A26="","",IFERROR(K26/'Assessment Structure'!$D$11*100,""))</f>
        <v/>
      </c>
      <c r="R26" s="59" t="str">
        <f>IF($A26="","",IFERROR(L26/'Assessment Structure'!$D$12*100,""))</f>
        <v/>
      </c>
      <c r="S26" s="59" t="str">
        <f>IF($A26="","",IFERROR(M26/'Assessment Structure'!$D$13*100,""))</f>
        <v/>
      </c>
      <c r="T26" s="59" t="str">
        <f>IF($A26="","",IFERROR(N26/'Assessment Structure'!$D$14*100,""))</f>
        <v/>
      </c>
      <c r="U26" s="59" t="str">
        <f>IF($A26="","",O26/100*'Assessment Structure'!$C$9+P26/100*'Assessment Structure'!$C$10+Q26/100*'Assessment Structure'!$C$11+R26/100*'Assessment Structure'!$C$12+S26/100*'Assessment Structure'!$C$13+T26/100*'Assessment Structure'!$C$14)</f>
        <v/>
      </c>
      <c r="V26" s="60" t="str">
        <f>IF($A26="","",IFERROR(U26/'Assessment Structure'!$B$4*100,""))</f>
        <v/>
      </c>
    </row>
    <row r="27" spans="1:22">
      <c r="A27" s="3"/>
      <c r="B27" s="8"/>
      <c r="C27" s="8"/>
      <c r="D27" s="8"/>
      <c r="E27" s="8"/>
      <c r="F27" s="8"/>
      <c r="G27" s="8"/>
      <c r="H27" s="8"/>
      <c r="I27" s="8"/>
      <c r="J27" s="8"/>
      <c r="K27" s="8"/>
      <c r="L27" s="8"/>
      <c r="M27" s="8"/>
      <c r="N27" s="4"/>
      <c r="O27" s="58" t="str">
        <f>IF($A27="","",IFERROR(SUM(C27:F27)/SUMIF('Question-Chapter Mapping'!$B$4:$B$100,"Test 1",'Question-Chapter Mapping'!$E$4:$E$100)*100,""))</f>
        <v/>
      </c>
      <c r="P27" s="59" t="str">
        <f>IF($A27="","",IFERROR(SUM(G27:J27)/SUMIF('Question-Chapter Mapping'!$B$4:$B$100,"Test 2",'Question-Chapter Mapping'!$E$4:$E$100)*100,""))</f>
        <v/>
      </c>
      <c r="Q27" s="59" t="str">
        <f>IF($A27="","",IFERROR(K27/'Assessment Structure'!$D$11*100,""))</f>
        <v/>
      </c>
      <c r="R27" s="59" t="str">
        <f>IF($A27="","",IFERROR(L27/'Assessment Structure'!$D$12*100,""))</f>
        <v/>
      </c>
      <c r="S27" s="59" t="str">
        <f>IF($A27="","",IFERROR(M27/'Assessment Structure'!$D$13*100,""))</f>
        <v/>
      </c>
      <c r="T27" s="59" t="str">
        <f>IF($A27="","",IFERROR(N27/'Assessment Structure'!$D$14*100,""))</f>
        <v/>
      </c>
      <c r="U27" s="59" t="str">
        <f>IF($A27="","",O27/100*'Assessment Structure'!$C$9+P27/100*'Assessment Structure'!$C$10+Q27/100*'Assessment Structure'!$C$11+R27/100*'Assessment Structure'!$C$12+S27/100*'Assessment Structure'!$C$13+T27/100*'Assessment Structure'!$C$14)</f>
        <v/>
      </c>
      <c r="V27" s="60" t="str">
        <f>IF($A27="","",IFERROR(U27/'Assessment Structure'!$B$4*100,""))</f>
        <v/>
      </c>
    </row>
    <row r="28" spans="1:22">
      <c r="A28" s="3"/>
      <c r="B28" s="8"/>
      <c r="C28" s="8"/>
      <c r="D28" s="8"/>
      <c r="E28" s="8"/>
      <c r="F28" s="8"/>
      <c r="G28" s="8"/>
      <c r="H28" s="8"/>
      <c r="I28" s="8"/>
      <c r="J28" s="8"/>
      <c r="K28" s="8"/>
      <c r="L28" s="8"/>
      <c r="M28" s="8"/>
      <c r="N28" s="4"/>
      <c r="O28" s="58" t="str">
        <f>IF($A28="","",IFERROR(SUM(C28:F28)/SUMIF('Question-Chapter Mapping'!$B$4:$B$100,"Test 1",'Question-Chapter Mapping'!$E$4:$E$100)*100,""))</f>
        <v/>
      </c>
      <c r="P28" s="59" t="str">
        <f>IF($A28="","",IFERROR(SUM(G28:J28)/SUMIF('Question-Chapter Mapping'!$B$4:$B$100,"Test 2",'Question-Chapter Mapping'!$E$4:$E$100)*100,""))</f>
        <v/>
      </c>
      <c r="Q28" s="59" t="str">
        <f>IF($A28="","",IFERROR(K28/'Assessment Structure'!$D$11*100,""))</f>
        <v/>
      </c>
      <c r="R28" s="59" t="str">
        <f>IF($A28="","",IFERROR(L28/'Assessment Structure'!$D$12*100,""))</f>
        <v/>
      </c>
      <c r="S28" s="59" t="str">
        <f>IF($A28="","",IFERROR(M28/'Assessment Structure'!$D$13*100,""))</f>
        <v/>
      </c>
      <c r="T28" s="59" t="str">
        <f>IF($A28="","",IFERROR(N28/'Assessment Structure'!$D$14*100,""))</f>
        <v/>
      </c>
      <c r="U28" s="59" t="str">
        <f>IF($A28="","",O28/100*'Assessment Structure'!$C$9+P28/100*'Assessment Structure'!$C$10+Q28/100*'Assessment Structure'!$C$11+R28/100*'Assessment Structure'!$C$12+S28/100*'Assessment Structure'!$C$13+T28/100*'Assessment Structure'!$C$14)</f>
        <v/>
      </c>
      <c r="V28" s="60" t="str">
        <f>IF($A28="","",IFERROR(U28/'Assessment Structure'!$B$4*100,""))</f>
        <v/>
      </c>
    </row>
    <row r="29" spans="1:22">
      <c r="A29" s="5"/>
      <c r="B29" s="9"/>
      <c r="C29" s="9"/>
      <c r="D29" s="9"/>
      <c r="E29" s="9"/>
      <c r="F29" s="9"/>
      <c r="G29" s="9"/>
      <c r="H29" s="9"/>
      <c r="I29" s="9"/>
      <c r="J29" s="9"/>
      <c r="K29" s="9"/>
      <c r="L29" s="9"/>
      <c r="M29" s="9"/>
      <c r="N29" s="6"/>
      <c r="O29" s="61" t="str">
        <f>IF($A29="","",IFERROR(SUM(C29:F29)/SUMIF('Question-Chapter Mapping'!$B$4:$B$100,"Test 1",'Question-Chapter Mapping'!$E$4:$E$100)*100,""))</f>
        <v/>
      </c>
      <c r="P29" s="62" t="str">
        <f>IF($A29="","",IFERROR(SUM(G29:J29)/SUMIF('Question-Chapter Mapping'!$B$4:$B$100,"Test 2",'Question-Chapter Mapping'!$E$4:$E$100)*100,""))</f>
        <v/>
      </c>
      <c r="Q29" s="62" t="str">
        <f>IF($A29="","",IFERROR(K29/'Assessment Structure'!$D$11*100,""))</f>
        <v/>
      </c>
      <c r="R29" s="62" t="str">
        <f>IF($A29="","",IFERROR(L29/'Assessment Structure'!$D$12*100,""))</f>
        <v/>
      </c>
      <c r="S29" s="62" t="str">
        <f>IF($A29="","",IFERROR(M29/'Assessment Structure'!$D$13*100,""))</f>
        <v/>
      </c>
      <c r="T29" s="62" t="str">
        <f>IF($A29="","",IFERROR(N29/'Assessment Structure'!$D$14*100,""))</f>
        <v/>
      </c>
      <c r="U29" s="62" t="str">
        <f>IF($A29="","",O29/100*'Assessment Structure'!$C$9+P29/100*'Assessment Structure'!$C$10+Q29/100*'Assessment Structure'!$C$11+R29/100*'Assessment Structure'!$C$12+S29/100*'Assessment Structure'!$C$13+T29/100*'Assessment Structure'!$C$14)</f>
        <v/>
      </c>
      <c r="V29" s="63" t="str">
        <f>IF($A29="","",IFERROR(U29/'Assessment Structure'!$B$4*100,""))</f>
        <v/>
      </c>
    </row>
    <row r="30" spans="1:22">
      <c r="O30" s="64" t="str">
        <f>IF($A30="","",IFERROR(SUM(C30:F30)/SUMIF('Question-Chapter Mapping'!$B$4:$B$100,"Test 1",'Question-Chapter Mapping'!$E$4:$E$100)*100,""))</f>
        <v/>
      </c>
      <c r="P30" s="64" t="str">
        <f>IF($A30="","",IFERROR(SUM(G30:J30)/SUMIF('Question-Chapter Mapping'!$B$4:$B$100,"Test 2",'Question-Chapter Mapping'!$E$4:$E$100)*100,""))</f>
        <v/>
      </c>
      <c r="Q30" s="64" t="str">
        <f>IF($A30="","",IFERROR(K30/'Assessment Structure'!$D$11*100,""))</f>
        <v/>
      </c>
      <c r="R30" s="64" t="str">
        <f>IF($A30="","",IFERROR(L30/'Assessment Structure'!$D$12*100,""))</f>
        <v/>
      </c>
      <c r="S30" s="64" t="str">
        <f>IF($A30="","",IFERROR(M30/'Assessment Structure'!$D$13*100,""))</f>
        <v/>
      </c>
      <c r="T30" s="64" t="str">
        <f>IF($A30="","",IFERROR(N30/'Assessment Structure'!$D$14*100,""))</f>
        <v/>
      </c>
      <c r="U30" s="64" t="str">
        <f>IF($A30="","",O30/100*'Assessment Structure'!$C$9+P30/100*'Assessment Structure'!$C$10+Q30/100*'Assessment Structure'!$C$11+R30/100*'Assessment Structure'!$C$12+S30/100*'Assessment Structure'!$C$13+T30/100*'Assessment Structure'!$C$14)</f>
        <v/>
      </c>
      <c r="V30" s="64" t="str">
        <f>IF($A30="","",IFERROR(U30/'Assessment Structure'!$B$4*100,""))</f>
        <v/>
      </c>
    </row>
    <row r="31" spans="1:22">
      <c r="O31" s="64" t="str">
        <f>IF($A31="","",IFERROR(SUM(C31:F31)/SUMIF('Question-Chapter Mapping'!$B$4:$B$100,"Test 1",'Question-Chapter Mapping'!$E$4:$E$100)*100,""))</f>
        <v/>
      </c>
      <c r="P31" s="64" t="str">
        <f>IF($A31="","",IFERROR(SUM(G31:J31)/SUMIF('Question-Chapter Mapping'!$B$4:$B$100,"Test 2",'Question-Chapter Mapping'!$E$4:$E$100)*100,""))</f>
        <v/>
      </c>
      <c r="Q31" s="64" t="str">
        <f>IF($A31="","",IFERROR(K31/'Assessment Structure'!$D$11*100,""))</f>
        <v/>
      </c>
      <c r="R31" s="64" t="str">
        <f>IF($A31="","",IFERROR(L31/'Assessment Structure'!$D$12*100,""))</f>
        <v/>
      </c>
      <c r="S31" s="64" t="str">
        <f>IF($A31="","",IFERROR(M31/'Assessment Structure'!$D$13*100,""))</f>
        <v/>
      </c>
      <c r="T31" s="64" t="str">
        <f>IF($A31="","",IFERROR(N31/'Assessment Structure'!$D$14*100,""))</f>
        <v/>
      </c>
      <c r="U31" s="64" t="str">
        <f>IF($A31="","",O31/100*'Assessment Structure'!$C$9+P31/100*'Assessment Structure'!$C$10+Q31/100*'Assessment Structure'!$C$11+R31/100*'Assessment Structure'!$C$12+S31/100*'Assessment Structure'!$C$13+T31/100*'Assessment Structure'!$C$14)</f>
        <v/>
      </c>
      <c r="V31" s="64" t="str">
        <f>IF($A31="","",IFERROR(U31/'Assessment Structure'!$B$4*100,""))</f>
        <v/>
      </c>
    </row>
    <row r="32" spans="1:22">
      <c r="O32" s="64" t="str">
        <f>IF($A32="","",IFERROR(SUM(C32:F32)/SUMIF('Question-Chapter Mapping'!$B$4:$B$100,"Test 1",'Question-Chapter Mapping'!$E$4:$E$100)*100,""))</f>
        <v/>
      </c>
      <c r="P32" s="64" t="str">
        <f>IF($A32="","",IFERROR(SUM(G32:J32)/SUMIF('Question-Chapter Mapping'!$B$4:$B$100,"Test 2",'Question-Chapter Mapping'!$E$4:$E$100)*100,""))</f>
        <v/>
      </c>
      <c r="Q32" s="64" t="str">
        <f>IF($A32="","",IFERROR(K32/'Assessment Structure'!$D$11*100,""))</f>
        <v/>
      </c>
      <c r="R32" s="64" t="str">
        <f>IF($A32="","",IFERROR(L32/'Assessment Structure'!$D$12*100,""))</f>
        <v/>
      </c>
      <c r="S32" s="64" t="str">
        <f>IF($A32="","",IFERROR(M32/'Assessment Structure'!$D$13*100,""))</f>
        <v/>
      </c>
      <c r="T32" s="64" t="str">
        <f>IF($A32="","",IFERROR(N32/'Assessment Structure'!$D$14*100,""))</f>
        <v/>
      </c>
      <c r="U32" s="64" t="str">
        <f>IF($A32="","",O32/100*'Assessment Structure'!$C$9+P32/100*'Assessment Structure'!$C$10+Q32/100*'Assessment Structure'!$C$11+R32/100*'Assessment Structure'!$C$12+S32/100*'Assessment Structure'!$C$13+T32/100*'Assessment Structure'!$C$14)</f>
        <v/>
      </c>
      <c r="V32" s="64" t="str">
        <f>IF($A32="","",IFERROR(U32/'Assessment Structure'!$B$4*100,""))</f>
        <v/>
      </c>
    </row>
    <row r="33" spans="15:22">
      <c r="O33" s="64" t="str">
        <f>IF($A33="","",IFERROR(SUM(C33:F33)/SUMIF('Question-Chapter Mapping'!$B$4:$B$100,"Test 1",'Question-Chapter Mapping'!$E$4:$E$100)*100,""))</f>
        <v/>
      </c>
      <c r="P33" s="64" t="str">
        <f>IF($A33="","",IFERROR(SUM(G33:J33)/SUMIF('Question-Chapter Mapping'!$B$4:$B$100,"Test 2",'Question-Chapter Mapping'!$E$4:$E$100)*100,""))</f>
        <v/>
      </c>
      <c r="Q33" s="64" t="str">
        <f>IF($A33="","",IFERROR(K33/'Assessment Structure'!$D$11*100,""))</f>
        <v/>
      </c>
      <c r="R33" s="64" t="str">
        <f>IF($A33="","",IFERROR(L33/'Assessment Structure'!$D$12*100,""))</f>
        <v/>
      </c>
      <c r="S33" s="64" t="str">
        <f>IF($A33="","",IFERROR(M33/'Assessment Structure'!$D$13*100,""))</f>
        <v/>
      </c>
      <c r="T33" s="64" t="str">
        <f>IF($A33="","",IFERROR(N33/'Assessment Structure'!$D$14*100,""))</f>
        <v/>
      </c>
      <c r="U33" s="64" t="str">
        <f>IF($A33="","",O33/100*'Assessment Structure'!$C$9+P33/100*'Assessment Structure'!$C$10+Q33/100*'Assessment Structure'!$C$11+R33/100*'Assessment Structure'!$C$12+S33/100*'Assessment Structure'!$C$13+T33/100*'Assessment Structure'!$C$14)</f>
        <v/>
      </c>
      <c r="V33" s="64" t="str">
        <f>IF($A33="","",IFERROR(U33/'Assessment Structure'!$B$4*100,""))</f>
        <v/>
      </c>
    </row>
    <row r="34" spans="15:22">
      <c r="O34" s="64" t="str">
        <f>IF($A34="","",IFERROR(SUM(C34:F34)/SUMIF('Question-Chapter Mapping'!$B$4:$B$100,"Test 1",'Question-Chapter Mapping'!$E$4:$E$100)*100,""))</f>
        <v/>
      </c>
      <c r="P34" s="64" t="str">
        <f>IF($A34="","",IFERROR(SUM(G34:J34)/SUMIF('Question-Chapter Mapping'!$B$4:$B$100,"Test 2",'Question-Chapter Mapping'!$E$4:$E$100)*100,""))</f>
        <v/>
      </c>
      <c r="Q34" s="64" t="str">
        <f>IF($A34="","",IFERROR(K34/'Assessment Structure'!$D$11*100,""))</f>
        <v/>
      </c>
      <c r="R34" s="64" t="str">
        <f>IF($A34="","",IFERROR(L34/'Assessment Structure'!$D$12*100,""))</f>
        <v/>
      </c>
      <c r="S34" s="64" t="str">
        <f>IF($A34="","",IFERROR(M34/'Assessment Structure'!$D$13*100,""))</f>
        <v/>
      </c>
      <c r="T34" s="64" t="str">
        <f>IF($A34="","",IFERROR(N34/'Assessment Structure'!$D$14*100,""))</f>
        <v/>
      </c>
      <c r="U34" s="64" t="str">
        <f>IF($A34="","",O34/100*'Assessment Structure'!$C$9+P34/100*'Assessment Structure'!$C$10+Q34/100*'Assessment Structure'!$C$11+R34/100*'Assessment Structure'!$C$12+S34/100*'Assessment Structure'!$C$13+T34/100*'Assessment Structure'!$C$14)</f>
        <v/>
      </c>
      <c r="V34" s="64" t="str">
        <f>IF($A34="","",IFERROR(U34/'Assessment Structure'!$B$4*100,""))</f>
        <v/>
      </c>
    </row>
    <row r="35" spans="15:22">
      <c r="O35" s="64" t="str">
        <f>IF($A35="","",IFERROR(SUM(C35:F35)/SUMIF('Question-Chapter Mapping'!$B$4:$B$100,"Test 1",'Question-Chapter Mapping'!$E$4:$E$100)*100,""))</f>
        <v/>
      </c>
      <c r="P35" s="64" t="str">
        <f>IF($A35="","",IFERROR(SUM(G35:J35)/SUMIF('Question-Chapter Mapping'!$B$4:$B$100,"Test 2",'Question-Chapter Mapping'!$E$4:$E$100)*100,""))</f>
        <v/>
      </c>
      <c r="Q35" s="64" t="str">
        <f>IF($A35="","",IFERROR(K35/'Assessment Structure'!$D$11*100,""))</f>
        <v/>
      </c>
      <c r="R35" s="64" t="str">
        <f>IF($A35="","",IFERROR(L35/'Assessment Structure'!$D$12*100,""))</f>
        <v/>
      </c>
      <c r="S35" s="64" t="str">
        <f>IF($A35="","",IFERROR(M35/'Assessment Structure'!$D$13*100,""))</f>
        <v/>
      </c>
      <c r="T35" s="64" t="str">
        <f>IF($A35="","",IFERROR(N35/'Assessment Structure'!$D$14*100,""))</f>
        <v/>
      </c>
      <c r="U35" s="64" t="str">
        <f>IF($A35="","",O35/100*'Assessment Structure'!$C$9+P35/100*'Assessment Structure'!$C$10+Q35/100*'Assessment Structure'!$C$11+R35/100*'Assessment Structure'!$C$12+S35/100*'Assessment Structure'!$C$13+T35/100*'Assessment Structure'!$C$14)</f>
        <v/>
      </c>
      <c r="V35" s="64" t="str">
        <f>IF($A35="","",IFERROR(U35/'Assessment Structure'!$B$4*100,""))</f>
        <v/>
      </c>
    </row>
    <row r="36" spans="15:22">
      <c r="O36" s="64" t="str">
        <f>IF($A36="","",IFERROR(SUM(C36:F36)/SUMIF('Question-Chapter Mapping'!$B$4:$B$100,"Test 1",'Question-Chapter Mapping'!$E$4:$E$100)*100,""))</f>
        <v/>
      </c>
      <c r="P36" s="64" t="str">
        <f>IF($A36="","",IFERROR(SUM(G36:J36)/SUMIF('Question-Chapter Mapping'!$B$4:$B$100,"Test 2",'Question-Chapter Mapping'!$E$4:$E$100)*100,""))</f>
        <v/>
      </c>
      <c r="Q36" s="64" t="str">
        <f>IF($A36="","",IFERROR(K36/'Assessment Structure'!$D$11*100,""))</f>
        <v/>
      </c>
      <c r="R36" s="64" t="str">
        <f>IF($A36="","",IFERROR(L36/'Assessment Structure'!$D$12*100,""))</f>
        <v/>
      </c>
      <c r="S36" s="64" t="str">
        <f>IF($A36="","",IFERROR(M36/'Assessment Structure'!$D$13*100,""))</f>
        <v/>
      </c>
      <c r="T36" s="64" t="str">
        <f>IF($A36="","",IFERROR(N36/'Assessment Structure'!$D$14*100,""))</f>
        <v/>
      </c>
      <c r="U36" s="64" t="str">
        <f>IF($A36="","",O36/100*'Assessment Structure'!$C$9+P36/100*'Assessment Structure'!$C$10+Q36/100*'Assessment Structure'!$C$11+R36/100*'Assessment Structure'!$C$12+S36/100*'Assessment Structure'!$C$13+T36/100*'Assessment Structure'!$C$14)</f>
        <v/>
      </c>
      <c r="V36" s="64" t="str">
        <f>IF($A36="","",IFERROR(U36/'Assessment Structure'!$B$4*100,""))</f>
        <v/>
      </c>
    </row>
    <row r="37" spans="15:22">
      <c r="O37" s="64" t="str">
        <f>IF($A37="","",IFERROR(SUM(C37:F37)/SUMIF('Question-Chapter Mapping'!$B$4:$B$100,"Test 1",'Question-Chapter Mapping'!$E$4:$E$100)*100,""))</f>
        <v/>
      </c>
      <c r="P37" s="64" t="str">
        <f>IF($A37="","",IFERROR(SUM(G37:J37)/SUMIF('Question-Chapter Mapping'!$B$4:$B$100,"Test 2",'Question-Chapter Mapping'!$E$4:$E$100)*100,""))</f>
        <v/>
      </c>
      <c r="Q37" s="64" t="str">
        <f>IF($A37="","",IFERROR(K37/'Assessment Structure'!$D$11*100,""))</f>
        <v/>
      </c>
      <c r="R37" s="64" t="str">
        <f>IF($A37="","",IFERROR(L37/'Assessment Structure'!$D$12*100,""))</f>
        <v/>
      </c>
      <c r="S37" s="64" t="str">
        <f>IF($A37="","",IFERROR(M37/'Assessment Structure'!$D$13*100,""))</f>
        <v/>
      </c>
      <c r="T37" s="64" t="str">
        <f>IF($A37="","",IFERROR(N37/'Assessment Structure'!$D$14*100,""))</f>
        <v/>
      </c>
      <c r="U37" s="64" t="str">
        <f>IF($A37="","",O37/100*'Assessment Structure'!$C$9+P37/100*'Assessment Structure'!$C$10+Q37/100*'Assessment Structure'!$C$11+R37/100*'Assessment Structure'!$C$12+S37/100*'Assessment Structure'!$C$13+T37/100*'Assessment Structure'!$C$14)</f>
        <v/>
      </c>
      <c r="V37" s="64" t="str">
        <f>IF($A37="","",IFERROR(U37/'Assessment Structure'!$B$4*100,""))</f>
        <v/>
      </c>
    </row>
    <row r="38" spans="15:22">
      <c r="O38" s="64" t="str">
        <f>IF($A38="","",IFERROR(SUM(C38:F38)/SUMIF('Question-Chapter Mapping'!$B$4:$B$100,"Test 1",'Question-Chapter Mapping'!$E$4:$E$100)*100,""))</f>
        <v/>
      </c>
      <c r="P38" s="64" t="str">
        <f>IF($A38="","",IFERROR(SUM(G38:J38)/SUMIF('Question-Chapter Mapping'!$B$4:$B$100,"Test 2",'Question-Chapter Mapping'!$E$4:$E$100)*100,""))</f>
        <v/>
      </c>
      <c r="Q38" s="64" t="str">
        <f>IF($A38="","",IFERROR(K38/'Assessment Structure'!$D$11*100,""))</f>
        <v/>
      </c>
      <c r="R38" s="64" t="str">
        <f>IF($A38="","",IFERROR(L38/'Assessment Structure'!$D$12*100,""))</f>
        <v/>
      </c>
      <c r="S38" s="64" t="str">
        <f>IF($A38="","",IFERROR(M38/'Assessment Structure'!$D$13*100,""))</f>
        <v/>
      </c>
      <c r="T38" s="64" t="str">
        <f>IF($A38="","",IFERROR(N38/'Assessment Structure'!$D$14*100,""))</f>
        <v/>
      </c>
      <c r="U38" s="64" t="str">
        <f>IF($A38="","",O38/100*'Assessment Structure'!$C$9+P38/100*'Assessment Structure'!$C$10+Q38/100*'Assessment Structure'!$C$11+R38/100*'Assessment Structure'!$C$12+S38/100*'Assessment Structure'!$C$13+T38/100*'Assessment Structure'!$C$14)</f>
        <v/>
      </c>
      <c r="V38" s="64" t="str">
        <f>IF($A38="","",IFERROR(U38/'Assessment Structure'!$B$4*100,""))</f>
        <v/>
      </c>
    </row>
    <row r="39" spans="15:22">
      <c r="O39" s="64" t="str">
        <f>IF($A39="","",IFERROR(SUM(C39:F39)/SUMIF('Question-Chapter Mapping'!$B$4:$B$100,"Test 1",'Question-Chapter Mapping'!$E$4:$E$100)*100,""))</f>
        <v/>
      </c>
      <c r="P39" s="64" t="str">
        <f>IF($A39="","",IFERROR(SUM(G39:J39)/SUMIF('Question-Chapter Mapping'!$B$4:$B$100,"Test 2",'Question-Chapter Mapping'!$E$4:$E$100)*100,""))</f>
        <v/>
      </c>
      <c r="Q39" s="64" t="str">
        <f>IF($A39="","",IFERROR(K39/'Assessment Structure'!$D$11*100,""))</f>
        <v/>
      </c>
      <c r="R39" s="64" t="str">
        <f>IF($A39="","",IFERROR(L39/'Assessment Structure'!$D$12*100,""))</f>
        <v/>
      </c>
      <c r="S39" s="64" t="str">
        <f>IF($A39="","",IFERROR(M39/'Assessment Structure'!$D$13*100,""))</f>
        <v/>
      </c>
      <c r="T39" s="64" t="str">
        <f>IF($A39="","",IFERROR(N39/'Assessment Structure'!$D$14*100,""))</f>
        <v/>
      </c>
      <c r="U39" s="64" t="str">
        <f>IF($A39="","",O39/100*'Assessment Structure'!$C$9+P39/100*'Assessment Structure'!$C$10+Q39/100*'Assessment Structure'!$C$11+R39/100*'Assessment Structure'!$C$12+S39/100*'Assessment Structure'!$C$13+T39/100*'Assessment Structure'!$C$14)</f>
        <v/>
      </c>
      <c r="V39" s="64" t="str">
        <f>IF($A39="","",IFERROR(U39/'Assessment Structure'!$B$4*100,""))</f>
        <v/>
      </c>
    </row>
    <row r="40" spans="15:22">
      <c r="O40" s="64" t="str">
        <f>IF($A40="","",IFERROR(SUM(C40:F40)/SUMIF('Question-Chapter Mapping'!$B$4:$B$100,"Test 1",'Question-Chapter Mapping'!$E$4:$E$100)*100,""))</f>
        <v/>
      </c>
      <c r="P40" s="64" t="str">
        <f>IF($A40="","",IFERROR(SUM(G40:J40)/SUMIF('Question-Chapter Mapping'!$B$4:$B$100,"Test 2",'Question-Chapter Mapping'!$E$4:$E$100)*100,""))</f>
        <v/>
      </c>
      <c r="Q40" s="64" t="str">
        <f>IF($A40="","",IFERROR(K40/'Assessment Structure'!$D$11*100,""))</f>
        <v/>
      </c>
      <c r="R40" s="64" t="str">
        <f>IF($A40="","",IFERROR(L40/'Assessment Structure'!$D$12*100,""))</f>
        <v/>
      </c>
      <c r="S40" s="64" t="str">
        <f>IF($A40="","",IFERROR(M40/'Assessment Structure'!$D$13*100,""))</f>
        <v/>
      </c>
      <c r="T40" s="64" t="str">
        <f>IF($A40="","",IFERROR(N40/'Assessment Structure'!$D$14*100,""))</f>
        <v/>
      </c>
      <c r="U40" s="64" t="str">
        <f>IF($A40="","",O40/100*'Assessment Structure'!$C$9+P40/100*'Assessment Structure'!$C$10+Q40/100*'Assessment Structure'!$C$11+R40/100*'Assessment Structure'!$C$12+S40/100*'Assessment Structure'!$C$13+T40/100*'Assessment Structure'!$C$14)</f>
        <v/>
      </c>
      <c r="V40" s="64" t="str">
        <f>IF($A40="","",IFERROR(U40/'Assessment Structure'!$B$4*100,""))</f>
        <v/>
      </c>
    </row>
    <row r="41" spans="15:22">
      <c r="O41" s="64" t="str">
        <f>IF($A41="","",IFERROR(SUM(C41:F41)/SUMIF('Question-Chapter Mapping'!$B$4:$B$100,"Test 1",'Question-Chapter Mapping'!$E$4:$E$100)*100,""))</f>
        <v/>
      </c>
      <c r="P41" s="64" t="str">
        <f>IF($A41="","",IFERROR(SUM(G41:J41)/SUMIF('Question-Chapter Mapping'!$B$4:$B$100,"Test 2",'Question-Chapter Mapping'!$E$4:$E$100)*100,""))</f>
        <v/>
      </c>
      <c r="Q41" s="64" t="str">
        <f>IF($A41="","",IFERROR(K41/'Assessment Structure'!$D$11*100,""))</f>
        <v/>
      </c>
      <c r="R41" s="64" t="str">
        <f>IF($A41="","",IFERROR(L41/'Assessment Structure'!$D$12*100,""))</f>
        <v/>
      </c>
      <c r="S41" s="64" t="str">
        <f>IF($A41="","",IFERROR(M41/'Assessment Structure'!$D$13*100,""))</f>
        <v/>
      </c>
      <c r="T41" s="64" t="str">
        <f>IF($A41="","",IFERROR(N41/'Assessment Structure'!$D$14*100,""))</f>
        <v/>
      </c>
      <c r="U41" s="64" t="str">
        <f>IF($A41="","",O41/100*'Assessment Structure'!$C$9+P41/100*'Assessment Structure'!$C$10+Q41/100*'Assessment Structure'!$C$11+R41/100*'Assessment Structure'!$C$12+S41/100*'Assessment Structure'!$C$13+T41/100*'Assessment Structure'!$C$14)</f>
        <v/>
      </c>
      <c r="V41" s="64" t="str">
        <f>IF($A41="","",IFERROR(U41/'Assessment Structure'!$B$4*100,""))</f>
        <v/>
      </c>
    </row>
    <row r="42" spans="15:22">
      <c r="O42" s="64" t="str">
        <f>IF($A42="","",IFERROR(SUM(C42:F42)/SUMIF('Question-Chapter Mapping'!$B$4:$B$100,"Test 1",'Question-Chapter Mapping'!$E$4:$E$100)*100,""))</f>
        <v/>
      </c>
      <c r="P42" s="64" t="str">
        <f>IF($A42="","",IFERROR(SUM(G42:J42)/SUMIF('Question-Chapter Mapping'!$B$4:$B$100,"Test 2",'Question-Chapter Mapping'!$E$4:$E$100)*100,""))</f>
        <v/>
      </c>
      <c r="Q42" s="64" t="str">
        <f>IF($A42="","",IFERROR(K42/'Assessment Structure'!$D$11*100,""))</f>
        <v/>
      </c>
      <c r="R42" s="64" t="str">
        <f>IF($A42="","",IFERROR(L42/'Assessment Structure'!$D$12*100,""))</f>
        <v/>
      </c>
      <c r="S42" s="64" t="str">
        <f>IF($A42="","",IFERROR(M42/'Assessment Structure'!$D$13*100,""))</f>
        <v/>
      </c>
      <c r="T42" s="64" t="str">
        <f>IF($A42="","",IFERROR(N42/'Assessment Structure'!$D$14*100,""))</f>
        <v/>
      </c>
      <c r="U42" s="64" t="str">
        <f>IF($A42="","",O42/100*'Assessment Structure'!$C$9+P42/100*'Assessment Structure'!$C$10+Q42/100*'Assessment Structure'!$C$11+R42/100*'Assessment Structure'!$C$12+S42/100*'Assessment Structure'!$C$13+T42/100*'Assessment Structure'!$C$14)</f>
        <v/>
      </c>
      <c r="V42" s="64" t="str">
        <f>IF($A42="","",IFERROR(U42/'Assessment Structure'!$B$4*100,""))</f>
        <v/>
      </c>
    </row>
    <row r="43" spans="15:22">
      <c r="O43" s="64" t="str">
        <f>IF($A43="","",IFERROR(SUM(C43:F43)/SUMIF('Question-Chapter Mapping'!$B$4:$B$100,"Test 1",'Question-Chapter Mapping'!$E$4:$E$100)*100,""))</f>
        <v/>
      </c>
      <c r="P43" s="64" t="str">
        <f>IF($A43="","",IFERROR(SUM(G43:J43)/SUMIF('Question-Chapter Mapping'!$B$4:$B$100,"Test 2",'Question-Chapter Mapping'!$E$4:$E$100)*100,""))</f>
        <v/>
      </c>
      <c r="Q43" s="64" t="str">
        <f>IF($A43="","",IFERROR(K43/'Assessment Structure'!$D$11*100,""))</f>
        <v/>
      </c>
      <c r="R43" s="64" t="str">
        <f>IF($A43="","",IFERROR(L43/'Assessment Structure'!$D$12*100,""))</f>
        <v/>
      </c>
      <c r="S43" s="64" t="str">
        <f>IF($A43="","",IFERROR(M43/'Assessment Structure'!$D$13*100,""))</f>
        <v/>
      </c>
      <c r="T43" s="64" t="str">
        <f>IF($A43="","",IFERROR(N43/'Assessment Structure'!$D$14*100,""))</f>
        <v/>
      </c>
      <c r="U43" s="64" t="str">
        <f>IF($A43="","",O43/100*'Assessment Structure'!$C$9+P43/100*'Assessment Structure'!$C$10+Q43/100*'Assessment Structure'!$C$11+R43/100*'Assessment Structure'!$C$12+S43/100*'Assessment Structure'!$C$13+T43/100*'Assessment Structure'!$C$14)</f>
        <v/>
      </c>
      <c r="V43" s="64" t="str">
        <f>IF($A43="","",IFERROR(U43/'Assessment Structure'!$B$4*100,""))</f>
        <v/>
      </c>
    </row>
    <row r="44" spans="15:22">
      <c r="O44" s="64" t="str">
        <f>IF($A44="","",IFERROR(SUM(C44:F44)/SUMIF('Question-Chapter Mapping'!$B$4:$B$100,"Test 1",'Question-Chapter Mapping'!$E$4:$E$100)*100,""))</f>
        <v/>
      </c>
      <c r="P44" s="64" t="str">
        <f>IF($A44="","",IFERROR(SUM(G44:J44)/SUMIF('Question-Chapter Mapping'!$B$4:$B$100,"Test 2",'Question-Chapter Mapping'!$E$4:$E$100)*100,""))</f>
        <v/>
      </c>
      <c r="Q44" s="64" t="str">
        <f>IF($A44="","",IFERROR(K44/'Assessment Structure'!$D$11*100,""))</f>
        <v/>
      </c>
      <c r="R44" s="64" t="str">
        <f>IF($A44="","",IFERROR(L44/'Assessment Structure'!$D$12*100,""))</f>
        <v/>
      </c>
      <c r="S44" s="64" t="str">
        <f>IF($A44="","",IFERROR(M44/'Assessment Structure'!$D$13*100,""))</f>
        <v/>
      </c>
      <c r="T44" s="64" t="str">
        <f>IF($A44="","",IFERROR(N44/'Assessment Structure'!$D$14*100,""))</f>
        <v/>
      </c>
      <c r="U44" s="64" t="str">
        <f>IF($A44="","",O44/100*'Assessment Structure'!$C$9+P44/100*'Assessment Structure'!$C$10+Q44/100*'Assessment Structure'!$C$11+R44/100*'Assessment Structure'!$C$12+S44/100*'Assessment Structure'!$C$13+T44/100*'Assessment Structure'!$C$14)</f>
        <v/>
      </c>
      <c r="V44" s="64" t="str">
        <f>IF($A44="","",IFERROR(U44/'Assessment Structure'!$B$4*100,""))</f>
        <v/>
      </c>
    </row>
    <row r="45" spans="15:22">
      <c r="O45" s="64" t="str">
        <f>IF($A45="","",IFERROR(SUM(C45:F45)/SUMIF('Question-Chapter Mapping'!$B$4:$B$100,"Test 1",'Question-Chapter Mapping'!$E$4:$E$100)*100,""))</f>
        <v/>
      </c>
      <c r="P45" s="64" t="str">
        <f>IF($A45="","",IFERROR(SUM(G45:J45)/SUMIF('Question-Chapter Mapping'!$B$4:$B$100,"Test 2",'Question-Chapter Mapping'!$E$4:$E$100)*100,""))</f>
        <v/>
      </c>
      <c r="Q45" s="64" t="str">
        <f>IF($A45="","",IFERROR(K45/'Assessment Structure'!$D$11*100,""))</f>
        <v/>
      </c>
      <c r="R45" s="64" t="str">
        <f>IF($A45="","",IFERROR(L45/'Assessment Structure'!$D$12*100,""))</f>
        <v/>
      </c>
      <c r="S45" s="64" t="str">
        <f>IF($A45="","",IFERROR(M45/'Assessment Structure'!$D$13*100,""))</f>
        <v/>
      </c>
      <c r="T45" s="64" t="str">
        <f>IF($A45="","",IFERROR(N45/'Assessment Structure'!$D$14*100,""))</f>
        <v/>
      </c>
      <c r="U45" s="64" t="str">
        <f>IF($A45="","",O45/100*'Assessment Structure'!$C$9+P45/100*'Assessment Structure'!$C$10+Q45/100*'Assessment Structure'!$C$11+R45/100*'Assessment Structure'!$C$12+S45/100*'Assessment Structure'!$C$13+T45/100*'Assessment Structure'!$C$14)</f>
        <v/>
      </c>
      <c r="V45" s="64" t="str">
        <f>IF($A45="","",IFERROR(U45/'Assessment Structure'!$B$4*100,""))</f>
        <v/>
      </c>
    </row>
    <row r="46" spans="15:22">
      <c r="O46" s="64" t="str">
        <f>IF($A46="","",IFERROR(SUM(C46:F46)/SUMIF('Question-Chapter Mapping'!$B$4:$B$100,"Test 1",'Question-Chapter Mapping'!$E$4:$E$100)*100,""))</f>
        <v/>
      </c>
      <c r="P46" s="64" t="str">
        <f>IF($A46="","",IFERROR(SUM(G46:J46)/SUMIF('Question-Chapter Mapping'!$B$4:$B$100,"Test 2",'Question-Chapter Mapping'!$E$4:$E$100)*100,""))</f>
        <v/>
      </c>
      <c r="Q46" s="64" t="str">
        <f>IF($A46="","",IFERROR(K46/'Assessment Structure'!$D$11*100,""))</f>
        <v/>
      </c>
      <c r="R46" s="64" t="str">
        <f>IF($A46="","",IFERROR(L46/'Assessment Structure'!$D$12*100,""))</f>
        <v/>
      </c>
      <c r="S46" s="64" t="str">
        <f>IF($A46="","",IFERROR(M46/'Assessment Structure'!$D$13*100,""))</f>
        <v/>
      </c>
      <c r="T46" s="64" t="str">
        <f>IF($A46="","",IFERROR(N46/'Assessment Structure'!$D$14*100,""))</f>
        <v/>
      </c>
      <c r="U46" s="64" t="str">
        <f>IF($A46="","",O46/100*'Assessment Structure'!$C$9+P46/100*'Assessment Structure'!$C$10+Q46/100*'Assessment Structure'!$C$11+R46/100*'Assessment Structure'!$C$12+S46/100*'Assessment Structure'!$C$13+T46/100*'Assessment Structure'!$C$14)</f>
        <v/>
      </c>
      <c r="V46" s="64" t="str">
        <f>IF($A46="","",IFERROR(U46/'Assessment Structure'!$B$4*100,""))</f>
        <v/>
      </c>
    </row>
    <row r="47" spans="15:22">
      <c r="O47" s="64" t="str">
        <f>IF($A47="","",IFERROR(SUM(C47:F47)/SUMIF('Question-Chapter Mapping'!$B$4:$B$100,"Test 1",'Question-Chapter Mapping'!$E$4:$E$100)*100,""))</f>
        <v/>
      </c>
      <c r="P47" s="64" t="str">
        <f>IF($A47="","",IFERROR(SUM(G47:J47)/SUMIF('Question-Chapter Mapping'!$B$4:$B$100,"Test 2",'Question-Chapter Mapping'!$E$4:$E$100)*100,""))</f>
        <v/>
      </c>
      <c r="Q47" s="64" t="str">
        <f>IF($A47="","",IFERROR(K47/'Assessment Structure'!$D$11*100,""))</f>
        <v/>
      </c>
      <c r="R47" s="64" t="str">
        <f>IF($A47="","",IFERROR(L47/'Assessment Structure'!$D$12*100,""))</f>
        <v/>
      </c>
      <c r="S47" s="64" t="str">
        <f>IF($A47="","",IFERROR(M47/'Assessment Structure'!$D$13*100,""))</f>
        <v/>
      </c>
      <c r="T47" s="64" t="str">
        <f>IF($A47="","",IFERROR(N47/'Assessment Structure'!$D$14*100,""))</f>
        <v/>
      </c>
      <c r="U47" s="64" t="str">
        <f>IF($A47="","",O47/100*'Assessment Structure'!$C$9+P47/100*'Assessment Structure'!$C$10+Q47/100*'Assessment Structure'!$C$11+R47/100*'Assessment Structure'!$C$12+S47/100*'Assessment Structure'!$C$13+T47/100*'Assessment Structure'!$C$14)</f>
        <v/>
      </c>
      <c r="V47" s="64" t="str">
        <f>IF($A47="","",IFERROR(U47/'Assessment Structure'!$B$4*100,""))</f>
        <v/>
      </c>
    </row>
    <row r="48" spans="15:22">
      <c r="O48" s="64" t="str">
        <f>IF($A48="","",IFERROR(SUM(C48:F48)/SUMIF('Question-Chapter Mapping'!$B$4:$B$100,"Test 1",'Question-Chapter Mapping'!$E$4:$E$100)*100,""))</f>
        <v/>
      </c>
      <c r="P48" s="64" t="str">
        <f>IF($A48="","",IFERROR(SUM(G48:J48)/SUMIF('Question-Chapter Mapping'!$B$4:$B$100,"Test 2",'Question-Chapter Mapping'!$E$4:$E$100)*100,""))</f>
        <v/>
      </c>
      <c r="Q48" s="64" t="str">
        <f>IF($A48="","",IFERROR(K48/'Assessment Structure'!$D$11*100,""))</f>
        <v/>
      </c>
      <c r="R48" s="64" t="str">
        <f>IF($A48="","",IFERROR(L48/'Assessment Structure'!$D$12*100,""))</f>
        <v/>
      </c>
      <c r="S48" s="64" t="str">
        <f>IF($A48="","",IFERROR(M48/'Assessment Structure'!$D$13*100,""))</f>
        <v/>
      </c>
      <c r="T48" s="64" t="str">
        <f>IF($A48="","",IFERROR(N48/'Assessment Structure'!$D$14*100,""))</f>
        <v/>
      </c>
      <c r="U48" s="64" t="str">
        <f>IF($A48="","",O48/100*'Assessment Structure'!$C$9+P48/100*'Assessment Structure'!$C$10+Q48/100*'Assessment Structure'!$C$11+R48/100*'Assessment Structure'!$C$12+S48/100*'Assessment Structure'!$C$13+T48/100*'Assessment Structure'!$C$14)</f>
        <v/>
      </c>
      <c r="V48" s="64" t="str">
        <f>IF($A48="","",IFERROR(U48/'Assessment Structure'!$B$4*100,""))</f>
        <v/>
      </c>
    </row>
    <row r="49" spans="15:22">
      <c r="O49" s="64" t="str">
        <f>IF($A49="","",IFERROR(SUM(C49:F49)/SUMIF('Question-Chapter Mapping'!$B$4:$B$100,"Test 1",'Question-Chapter Mapping'!$E$4:$E$100)*100,""))</f>
        <v/>
      </c>
      <c r="P49" s="64" t="str">
        <f>IF($A49="","",IFERROR(SUM(G49:J49)/SUMIF('Question-Chapter Mapping'!$B$4:$B$100,"Test 2",'Question-Chapter Mapping'!$E$4:$E$100)*100,""))</f>
        <v/>
      </c>
      <c r="Q49" s="64" t="str">
        <f>IF($A49="","",IFERROR(K49/'Assessment Structure'!$D$11*100,""))</f>
        <v/>
      </c>
      <c r="R49" s="64" t="str">
        <f>IF($A49="","",IFERROR(L49/'Assessment Structure'!$D$12*100,""))</f>
        <v/>
      </c>
      <c r="S49" s="64" t="str">
        <f>IF($A49="","",IFERROR(M49/'Assessment Structure'!$D$13*100,""))</f>
        <v/>
      </c>
      <c r="T49" s="64" t="str">
        <f>IF($A49="","",IFERROR(N49/'Assessment Structure'!$D$14*100,""))</f>
        <v/>
      </c>
      <c r="U49" s="64" t="str">
        <f>IF($A49="","",O49/100*'Assessment Structure'!$C$9+P49/100*'Assessment Structure'!$C$10+Q49/100*'Assessment Structure'!$C$11+R49/100*'Assessment Structure'!$C$12+S49/100*'Assessment Structure'!$C$13+T49/100*'Assessment Structure'!$C$14)</f>
        <v/>
      </c>
      <c r="V49" s="64" t="str">
        <f>IF($A49="","",IFERROR(U49/'Assessment Structure'!$B$4*100,""))</f>
        <v/>
      </c>
    </row>
    <row r="50" spans="15:22">
      <c r="O50" s="64" t="str">
        <f>IF($A50="","",IFERROR(SUM(C50:F50)/SUMIF('Question-Chapter Mapping'!$B$4:$B$100,"Test 1",'Question-Chapter Mapping'!$E$4:$E$100)*100,""))</f>
        <v/>
      </c>
      <c r="P50" s="64" t="str">
        <f>IF($A50="","",IFERROR(SUM(G50:J50)/SUMIF('Question-Chapter Mapping'!$B$4:$B$100,"Test 2",'Question-Chapter Mapping'!$E$4:$E$100)*100,""))</f>
        <v/>
      </c>
      <c r="Q50" s="64" t="str">
        <f>IF($A50="","",IFERROR(K50/'Assessment Structure'!$D$11*100,""))</f>
        <v/>
      </c>
      <c r="R50" s="64" t="str">
        <f>IF($A50="","",IFERROR(L50/'Assessment Structure'!$D$12*100,""))</f>
        <v/>
      </c>
      <c r="S50" s="64" t="str">
        <f>IF($A50="","",IFERROR(M50/'Assessment Structure'!$D$13*100,""))</f>
        <v/>
      </c>
      <c r="T50" s="64" t="str">
        <f>IF($A50="","",IFERROR(N50/'Assessment Structure'!$D$14*100,""))</f>
        <v/>
      </c>
      <c r="U50" s="64" t="str">
        <f>IF($A50="","",O50/100*'Assessment Structure'!$C$9+P50/100*'Assessment Structure'!$C$10+Q50/100*'Assessment Structure'!$C$11+R50/100*'Assessment Structure'!$C$12+S50/100*'Assessment Structure'!$C$13+T50/100*'Assessment Structure'!$C$14)</f>
        <v/>
      </c>
      <c r="V50" s="64" t="str">
        <f>IF($A50="","",IFERROR(U50/'Assessment Structure'!$B$4*100,""))</f>
        <v/>
      </c>
    </row>
    <row r="51" spans="15:22">
      <c r="O51" s="64" t="str">
        <f>IF($A51="","",IFERROR(SUM(C51:F51)/SUMIF('Question-Chapter Mapping'!$B$4:$B$100,"Test 1",'Question-Chapter Mapping'!$E$4:$E$100)*100,""))</f>
        <v/>
      </c>
      <c r="P51" s="64" t="str">
        <f>IF($A51="","",IFERROR(SUM(G51:J51)/SUMIF('Question-Chapter Mapping'!$B$4:$B$100,"Test 2",'Question-Chapter Mapping'!$E$4:$E$100)*100,""))</f>
        <v/>
      </c>
      <c r="Q51" s="64" t="str">
        <f>IF($A51="","",IFERROR(K51/'Assessment Structure'!$D$11*100,""))</f>
        <v/>
      </c>
      <c r="R51" s="64" t="str">
        <f>IF($A51="","",IFERROR(L51/'Assessment Structure'!$D$12*100,""))</f>
        <v/>
      </c>
      <c r="S51" s="64" t="str">
        <f>IF($A51="","",IFERROR(M51/'Assessment Structure'!$D$13*100,""))</f>
        <v/>
      </c>
      <c r="T51" s="64" t="str">
        <f>IF($A51="","",IFERROR(N51/'Assessment Structure'!$D$14*100,""))</f>
        <v/>
      </c>
      <c r="U51" s="64" t="str">
        <f>IF($A51="","",O51/100*'Assessment Structure'!$C$9+P51/100*'Assessment Structure'!$C$10+Q51/100*'Assessment Structure'!$C$11+R51/100*'Assessment Structure'!$C$12+S51/100*'Assessment Structure'!$C$13+T51/100*'Assessment Structure'!$C$14)</f>
        <v/>
      </c>
      <c r="V51" s="64" t="str">
        <f>IF($A51="","",IFERROR(U51/'Assessment Structure'!$B$4*100,""))</f>
        <v/>
      </c>
    </row>
    <row r="52" spans="15:22">
      <c r="O52" s="64" t="str">
        <f>IF($A52="","",IFERROR(SUM(C52:F52)/SUMIF('Question-Chapter Mapping'!$B$4:$B$100,"Test 1",'Question-Chapter Mapping'!$E$4:$E$100)*100,""))</f>
        <v/>
      </c>
      <c r="P52" s="64" t="str">
        <f>IF($A52="","",IFERROR(SUM(G52:J52)/SUMIF('Question-Chapter Mapping'!$B$4:$B$100,"Test 2",'Question-Chapter Mapping'!$E$4:$E$100)*100,""))</f>
        <v/>
      </c>
      <c r="Q52" s="64" t="str">
        <f>IF($A52="","",IFERROR(K52/'Assessment Structure'!$D$11*100,""))</f>
        <v/>
      </c>
      <c r="R52" s="64" t="str">
        <f>IF($A52="","",IFERROR(L52/'Assessment Structure'!$D$12*100,""))</f>
        <v/>
      </c>
      <c r="S52" s="64" t="str">
        <f>IF($A52="","",IFERROR(M52/'Assessment Structure'!$D$13*100,""))</f>
        <v/>
      </c>
      <c r="T52" s="64" t="str">
        <f>IF($A52="","",IFERROR(N52/'Assessment Structure'!$D$14*100,""))</f>
        <v/>
      </c>
      <c r="U52" s="64" t="str">
        <f>IF($A52="","",O52/100*'Assessment Structure'!$C$9+P52/100*'Assessment Structure'!$C$10+Q52/100*'Assessment Structure'!$C$11+R52/100*'Assessment Structure'!$C$12+S52/100*'Assessment Structure'!$C$13+T52/100*'Assessment Structure'!$C$14)</f>
        <v/>
      </c>
      <c r="V52" s="64" t="str">
        <f>IF($A52="","",IFERROR(U52/'Assessment Structure'!$B$4*100,""))</f>
        <v/>
      </c>
    </row>
    <row r="53" spans="15:22">
      <c r="O53" s="64" t="str">
        <f>IF($A53="","",IFERROR(SUM(C53:F53)/SUMIF('Question-Chapter Mapping'!$B$4:$B$100,"Test 1",'Question-Chapter Mapping'!$E$4:$E$100)*100,""))</f>
        <v/>
      </c>
      <c r="P53" s="64" t="str">
        <f>IF($A53="","",IFERROR(SUM(G53:J53)/SUMIF('Question-Chapter Mapping'!$B$4:$B$100,"Test 2",'Question-Chapter Mapping'!$E$4:$E$100)*100,""))</f>
        <v/>
      </c>
      <c r="Q53" s="64" t="str">
        <f>IF($A53="","",IFERROR(K53/'Assessment Structure'!$D$11*100,""))</f>
        <v/>
      </c>
      <c r="R53" s="64" t="str">
        <f>IF($A53="","",IFERROR(L53/'Assessment Structure'!$D$12*100,""))</f>
        <v/>
      </c>
      <c r="S53" s="64" t="str">
        <f>IF($A53="","",IFERROR(M53/'Assessment Structure'!$D$13*100,""))</f>
        <v/>
      </c>
      <c r="T53" s="64" t="str">
        <f>IF($A53="","",IFERROR(N53/'Assessment Structure'!$D$14*100,""))</f>
        <v/>
      </c>
      <c r="U53" s="64" t="str">
        <f>IF($A53="","",O53/100*'Assessment Structure'!$C$9+P53/100*'Assessment Structure'!$C$10+Q53/100*'Assessment Structure'!$C$11+R53/100*'Assessment Structure'!$C$12+S53/100*'Assessment Structure'!$C$13+T53/100*'Assessment Structure'!$C$14)</f>
        <v/>
      </c>
      <c r="V53" s="64" t="str">
        <f>IF($A53="","",IFERROR(U53/'Assessment Structure'!$B$4*100,""))</f>
        <v/>
      </c>
    </row>
    <row r="54" spans="15:22">
      <c r="O54" s="64" t="str">
        <f>IF($A54="","",IFERROR(SUM(C54:F54)/SUMIF('Question-Chapter Mapping'!$B$4:$B$100,"Test 1",'Question-Chapter Mapping'!$E$4:$E$100)*100,""))</f>
        <v/>
      </c>
      <c r="P54" s="64" t="str">
        <f>IF($A54="","",IFERROR(SUM(G54:J54)/SUMIF('Question-Chapter Mapping'!$B$4:$B$100,"Test 2",'Question-Chapter Mapping'!$E$4:$E$100)*100,""))</f>
        <v/>
      </c>
      <c r="Q54" s="64" t="str">
        <f>IF($A54="","",IFERROR(K54/'Assessment Structure'!$D$11*100,""))</f>
        <v/>
      </c>
      <c r="R54" s="64" t="str">
        <f>IF($A54="","",IFERROR(L54/'Assessment Structure'!$D$12*100,""))</f>
        <v/>
      </c>
      <c r="S54" s="64" t="str">
        <f>IF($A54="","",IFERROR(M54/'Assessment Structure'!$D$13*100,""))</f>
        <v/>
      </c>
      <c r="T54" s="64" t="str">
        <f>IF($A54="","",IFERROR(N54/'Assessment Structure'!$D$14*100,""))</f>
        <v/>
      </c>
      <c r="U54" s="64" t="str">
        <f>IF($A54="","",O54/100*'Assessment Structure'!$C$9+P54/100*'Assessment Structure'!$C$10+Q54/100*'Assessment Structure'!$C$11+R54/100*'Assessment Structure'!$C$12+S54/100*'Assessment Structure'!$C$13+T54/100*'Assessment Structure'!$C$14)</f>
        <v/>
      </c>
      <c r="V54" s="64" t="str">
        <f>IF($A54="","",IFERROR(U54/'Assessment Structure'!$B$4*100,""))</f>
        <v/>
      </c>
    </row>
    <row r="55" spans="15:22">
      <c r="O55" s="64" t="str">
        <f>IF($A55="","",IFERROR(SUM(C55:F55)/SUMIF('Question-Chapter Mapping'!$B$4:$B$100,"Test 1",'Question-Chapter Mapping'!$E$4:$E$100)*100,""))</f>
        <v/>
      </c>
      <c r="P55" s="64" t="str">
        <f>IF($A55="","",IFERROR(SUM(G55:J55)/SUMIF('Question-Chapter Mapping'!$B$4:$B$100,"Test 2",'Question-Chapter Mapping'!$E$4:$E$100)*100,""))</f>
        <v/>
      </c>
      <c r="Q55" s="64" t="str">
        <f>IF($A55="","",IFERROR(K55/'Assessment Structure'!$D$11*100,""))</f>
        <v/>
      </c>
      <c r="R55" s="64" t="str">
        <f>IF($A55="","",IFERROR(L55/'Assessment Structure'!$D$12*100,""))</f>
        <v/>
      </c>
      <c r="S55" s="64" t="str">
        <f>IF($A55="","",IFERROR(M55/'Assessment Structure'!$D$13*100,""))</f>
        <v/>
      </c>
      <c r="T55" s="64" t="str">
        <f>IF($A55="","",IFERROR(N55/'Assessment Structure'!$D$14*100,""))</f>
        <v/>
      </c>
      <c r="U55" s="64" t="str">
        <f>IF($A55="","",O55/100*'Assessment Structure'!$C$9+P55/100*'Assessment Structure'!$C$10+Q55/100*'Assessment Structure'!$C$11+R55/100*'Assessment Structure'!$C$12+S55/100*'Assessment Structure'!$C$13+T55/100*'Assessment Structure'!$C$14)</f>
        <v/>
      </c>
      <c r="V55" s="64" t="str">
        <f>IF($A55="","",IFERROR(U55/'Assessment Structure'!$B$4*100,""))</f>
        <v/>
      </c>
    </row>
    <row r="56" spans="15:22">
      <c r="O56" s="64" t="str">
        <f>IF($A56="","",IFERROR(SUM(C56:F56)/SUMIF('Question-Chapter Mapping'!$B$4:$B$100,"Test 1",'Question-Chapter Mapping'!$E$4:$E$100)*100,""))</f>
        <v/>
      </c>
      <c r="P56" s="64" t="str">
        <f>IF($A56="","",IFERROR(SUM(G56:J56)/SUMIF('Question-Chapter Mapping'!$B$4:$B$100,"Test 2",'Question-Chapter Mapping'!$E$4:$E$100)*100,""))</f>
        <v/>
      </c>
      <c r="Q56" s="64" t="str">
        <f>IF($A56="","",IFERROR(K56/'Assessment Structure'!$D$11*100,""))</f>
        <v/>
      </c>
      <c r="R56" s="64" t="str">
        <f>IF($A56="","",IFERROR(L56/'Assessment Structure'!$D$12*100,""))</f>
        <v/>
      </c>
      <c r="S56" s="64" t="str">
        <f>IF($A56="","",IFERROR(M56/'Assessment Structure'!$D$13*100,""))</f>
        <v/>
      </c>
      <c r="T56" s="64" t="str">
        <f>IF($A56="","",IFERROR(N56/'Assessment Structure'!$D$14*100,""))</f>
        <v/>
      </c>
      <c r="U56" s="64" t="str">
        <f>IF($A56="","",O56/100*'Assessment Structure'!$C$9+P56/100*'Assessment Structure'!$C$10+Q56/100*'Assessment Structure'!$C$11+R56/100*'Assessment Structure'!$C$12+S56/100*'Assessment Structure'!$C$13+T56/100*'Assessment Structure'!$C$14)</f>
        <v/>
      </c>
      <c r="V56" s="64" t="str">
        <f>IF($A56="","",IFERROR(U56/'Assessment Structure'!$B$4*100,""))</f>
        <v/>
      </c>
    </row>
    <row r="57" spans="15:22">
      <c r="O57" s="64" t="str">
        <f>IF($A57="","",IFERROR(SUM(C57:F57)/SUMIF('Question-Chapter Mapping'!$B$4:$B$100,"Test 1",'Question-Chapter Mapping'!$E$4:$E$100)*100,""))</f>
        <v/>
      </c>
      <c r="P57" s="64" t="str">
        <f>IF($A57="","",IFERROR(SUM(G57:J57)/SUMIF('Question-Chapter Mapping'!$B$4:$B$100,"Test 2",'Question-Chapter Mapping'!$E$4:$E$100)*100,""))</f>
        <v/>
      </c>
      <c r="Q57" s="64" t="str">
        <f>IF($A57="","",IFERROR(K57/'Assessment Structure'!$D$11*100,""))</f>
        <v/>
      </c>
      <c r="R57" s="64" t="str">
        <f>IF($A57="","",IFERROR(L57/'Assessment Structure'!$D$12*100,""))</f>
        <v/>
      </c>
      <c r="S57" s="64" t="str">
        <f>IF($A57="","",IFERROR(M57/'Assessment Structure'!$D$13*100,""))</f>
        <v/>
      </c>
      <c r="T57" s="64" t="str">
        <f>IF($A57="","",IFERROR(N57/'Assessment Structure'!$D$14*100,""))</f>
        <v/>
      </c>
      <c r="U57" s="64" t="str">
        <f>IF($A57="","",O57/100*'Assessment Structure'!$C$9+P57/100*'Assessment Structure'!$C$10+Q57/100*'Assessment Structure'!$C$11+R57/100*'Assessment Structure'!$C$12+S57/100*'Assessment Structure'!$C$13+T57/100*'Assessment Structure'!$C$14)</f>
        <v/>
      </c>
      <c r="V57" s="64" t="str">
        <f>IF($A57="","",IFERROR(U57/'Assessment Structure'!$B$4*100,""))</f>
        <v/>
      </c>
    </row>
    <row r="58" spans="15:22">
      <c r="O58" s="64" t="str">
        <f>IF($A58="","",IFERROR(SUM(C58:F58)/SUMIF('Question-Chapter Mapping'!$B$4:$B$100,"Test 1",'Question-Chapter Mapping'!$E$4:$E$100)*100,""))</f>
        <v/>
      </c>
      <c r="P58" s="64" t="str">
        <f>IF($A58="","",IFERROR(SUM(G58:J58)/SUMIF('Question-Chapter Mapping'!$B$4:$B$100,"Test 2",'Question-Chapter Mapping'!$E$4:$E$100)*100,""))</f>
        <v/>
      </c>
      <c r="Q58" s="64" t="str">
        <f>IF($A58="","",IFERROR(K58/'Assessment Structure'!$D$11*100,""))</f>
        <v/>
      </c>
      <c r="R58" s="64" t="str">
        <f>IF($A58="","",IFERROR(L58/'Assessment Structure'!$D$12*100,""))</f>
        <v/>
      </c>
      <c r="S58" s="64" t="str">
        <f>IF($A58="","",IFERROR(M58/'Assessment Structure'!$D$13*100,""))</f>
        <v/>
      </c>
      <c r="T58" s="64" t="str">
        <f>IF($A58="","",IFERROR(N58/'Assessment Structure'!$D$14*100,""))</f>
        <v/>
      </c>
      <c r="U58" s="64" t="str">
        <f>IF($A58="","",O58/100*'Assessment Structure'!$C$9+P58/100*'Assessment Structure'!$C$10+Q58/100*'Assessment Structure'!$C$11+R58/100*'Assessment Structure'!$C$12+S58/100*'Assessment Structure'!$C$13+T58/100*'Assessment Structure'!$C$14)</f>
        <v/>
      </c>
      <c r="V58" s="64" t="str">
        <f>IF($A58="","",IFERROR(U58/'Assessment Structure'!$B$4*100,""))</f>
        <v/>
      </c>
    </row>
    <row r="59" spans="15:22">
      <c r="O59" s="64" t="str">
        <f>IF($A59="","",IFERROR(SUM(C59:F59)/SUMIF('Question-Chapter Mapping'!$B$4:$B$100,"Test 1",'Question-Chapter Mapping'!$E$4:$E$100)*100,""))</f>
        <v/>
      </c>
      <c r="P59" s="64" t="str">
        <f>IF($A59="","",IFERROR(SUM(G59:J59)/SUMIF('Question-Chapter Mapping'!$B$4:$B$100,"Test 2",'Question-Chapter Mapping'!$E$4:$E$100)*100,""))</f>
        <v/>
      </c>
      <c r="Q59" s="64" t="str">
        <f>IF($A59="","",IFERROR(K59/'Assessment Structure'!$D$11*100,""))</f>
        <v/>
      </c>
      <c r="R59" s="64" t="str">
        <f>IF($A59="","",IFERROR(L59/'Assessment Structure'!$D$12*100,""))</f>
        <v/>
      </c>
      <c r="S59" s="64" t="str">
        <f>IF($A59="","",IFERROR(M59/'Assessment Structure'!$D$13*100,""))</f>
        <v/>
      </c>
      <c r="T59" s="64" t="str">
        <f>IF($A59="","",IFERROR(N59/'Assessment Structure'!$D$14*100,""))</f>
        <v/>
      </c>
      <c r="U59" s="64" t="str">
        <f>IF($A59="","",O59/100*'Assessment Structure'!$C$9+P59/100*'Assessment Structure'!$C$10+Q59/100*'Assessment Structure'!$C$11+R59/100*'Assessment Structure'!$C$12+S59/100*'Assessment Structure'!$C$13+T59/100*'Assessment Structure'!$C$14)</f>
        <v/>
      </c>
      <c r="V59" s="64" t="str">
        <f>IF($A59="","",IFERROR(U59/'Assessment Structure'!$B$4*100,""))</f>
        <v/>
      </c>
    </row>
    <row r="60" spans="15:22">
      <c r="O60" s="64" t="str">
        <f>IF($A60="","",IFERROR(SUM(C60:F60)/SUMIF('Question-Chapter Mapping'!$B$4:$B$100,"Test 1",'Question-Chapter Mapping'!$E$4:$E$100)*100,""))</f>
        <v/>
      </c>
      <c r="P60" s="64" t="str">
        <f>IF($A60="","",IFERROR(SUM(G60:J60)/SUMIF('Question-Chapter Mapping'!$B$4:$B$100,"Test 2",'Question-Chapter Mapping'!$E$4:$E$100)*100,""))</f>
        <v/>
      </c>
      <c r="Q60" s="64" t="str">
        <f>IF($A60="","",IFERROR(K60/'Assessment Structure'!$D$11*100,""))</f>
        <v/>
      </c>
      <c r="R60" s="64" t="str">
        <f>IF($A60="","",IFERROR(L60/'Assessment Structure'!$D$12*100,""))</f>
        <v/>
      </c>
      <c r="S60" s="64" t="str">
        <f>IF($A60="","",IFERROR(M60/'Assessment Structure'!$D$13*100,""))</f>
        <v/>
      </c>
      <c r="T60" s="64" t="str">
        <f>IF($A60="","",IFERROR(N60/'Assessment Structure'!$D$14*100,""))</f>
        <v/>
      </c>
      <c r="U60" s="64" t="str">
        <f>IF($A60="","",O60/100*'Assessment Structure'!$C$9+P60/100*'Assessment Structure'!$C$10+Q60/100*'Assessment Structure'!$C$11+R60/100*'Assessment Structure'!$C$12+S60/100*'Assessment Structure'!$C$13+T60/100*'Assessment Structure'!$C$14)</f>
        <v/>
      </c>
      <c r="V60" s="64" t="str">
        <f>IF($A60="","",IFERROR(U60/'Assessment Structure'!$B$4*100,""))</f>
        <v/>
      </c>
    </row>
    <row r="61" spans="15:22">
      <c r="O61" s="64" t="str">
        <f>IF($A61="","",IFERROR(SUM(C61:F61)/SUMIF('Question-Chapter Mapping'!$B$4:$B$100,"Test 1",'Question-Chapter Mapping'!$E$4:$E$100)*100,""))</f>
        <v/>
      </c>
      <c r="P61" s="64" t="str">
        <f>IF($A61="","",IFERROR(SUM(G61:J61)/SUMIF('Question-Chapter Mapping'!$B$4:$B$100,"Test 2",'Question-Chapter Mapping'!$E$4:$E$100)*100,""))</f>
        <v/>
      </c>
      <c r="Q61" s="64" t="str">
        <f>IF($A61="","",IFERROR(K61/'Assessment Structure'!$D$11*100,""))</f>
        <v/>
      </c>
      <c r="R61" s="64" t="str">
        <f>IF($A61="","",IFERROR(L61/'Assessment Structure'!$D$12*100,""))</f>
        <v/>
      </c>
      <c r="S61" s="64" t="str">
        <f>IF($A61="","",IFERROR(M61/'Assessment Structure'!$D$13*100,""))</f>
        <v/>
      </c>
      <c r="T61" s="64" t="str">
        <f>IF($A61="","",IFERROR(N61/'Assessment Structure'!$D$14*100,""))</f>
        <v/>
      </c>
      <c r="U61" s="64" t="str">
        <f>IF($A61="","",O61/100*'Assessment Structure'!$C$9+P61/100*'Assessment Structure'!$C$10+Q61/100*'Assessment Structure'!$C$11+R61/100*'Assessment Structure'!$C$12+S61/100*'Assessment Structure'!$C$13+T61/100*'Assessment Structure'!$C$14)</f>
        <v/>
      </c>
      <c r="V61" s="64" t="str">
        <f>IF($A61="","",IFERROR(U61/'Assessment Structure'!$B$4*100,""))</f>
        <v/>
      </c>
    </row>
    <row r="62" spans="15:22">
      <c r="O62" s="64" t="str">
        <f>IF($A62="","",IFERROR(SUM(C62:F62)/SUMIF('Question-Chapter Mapping'!$B$4:$B$100,"Test 1",'Question-Chapter Mapping'!$E$4:$E$100)*100,""))</f>
        <v/>
      </c>
      <c r="P62" s="64" t="str">
        <f>IF($A62="","",IFERROR(SUM(G62:J62)/SUMIF('Question-Chapter Mapping'!$B$4:$B$100,"Test 2",'Question-Chapter Mapping'!$E$4:$E$100)*100,""))</f>
        <v/>
      </c>
      <c r="Q62" s="64" t="str">
        <f>IF($A62="","",IFERROR(K62/'Assessment Structure'!$D$11*100,""))</f>
        <v/>
      </c>
      <c r="R62" s="64" t="str">
        <f>IF($A62="","",IFERROR(L62/'Assessment Structure'!$D$12*100,""))</f>
        <v/>
      </c>
      <c r="S62" s="64" t="str">
        <f>IF($A62="","",IFERROR(M62/'Assessment Structure'!$D$13*100,""))</f>
        <v/>
      </c>
      <c r="T62" s="64" t="str">
        <f>IF($A62="","",IFERROR(N62/'Assessment Structure'!$D$14*100,""))</f>
        <v/>
      </c>
      <c r="U62" s="64" t="str">
        <f>IF($A62="","",O62/100*'Assessment Structure'!$C$9+P62/100*'Assessment Structure'!$C$10+Q62/100*'Assessment Structure'!$C$11+R62/100*'Assessment Structure'!$C$12+S62/100*'Assessment Structure'!$C$13+T62/100*'Assessment Structure'!$C$14)</f>
        <v/>
      </c>
      <c r="V62" s="64" t="str">
        <f>IF($A62="","",IFERROR(U62/'Assessment Structure'!$B$4*100,""))</f>
        <v/>
      </c>
    </row>
    <row r="63" spans="15:22">
      <c r="O63" s="64" t="str">
        <f>IF($A63="","",IFERROR(SUM(C63:F63)/SUMIF('Question-Chapter Mapping'!$B$4:$B$100,"Test 1",'Question-Chapter Mapping'!$E$4:$E$100)*100,""))</f>
        <v/>
      </c>
      <c r="P63" s="64" t="str">
        <f>IF($A63="","",IFERROR(SUM(G63:J63)/SUMIF('Question-Chapter Mapping'!$B$4:$B$100,"Test 2",'Question-Chapter Mapping'!$E$4:$E$100)*100,""))</f>
        <v/>
      </c>
      <c r="Q63" s="64" t="str">
        <f>IF($A63="","",IFERROR(K63/'Assessment Structure'!$D$11*100,""))</f>
        <v/>
      </c>
      <c r="R63" s="64" t="str">
        <f>IF($A63="","",IFERROR(L63/'Assessment Structure'!$D$12*100,""))</f>
        <v/>
      </c>
      <c r="S63" s="64" t="str">
        <f>IF($A63="","",IFERROR(M63/'Assessment Structure'!$D$13*100,""))</f>
        <v/>
      </c>
      <c r="T63" s="64" t="str">
        <f>IF($A63="","",IFERROR(N63/'Assessment Structure'!$D$14*100,""))</f>
        <v/>
      </c>
      <c r="U63" s="64" t="str">
        <f>IF($A63="","",O63/100*'Assessment Structure'!$C$9+P63/100*'Assessment Structure'!$C$10+Q63/100*'Assessment Structure'!$C$11+R63/100*'Assessment Structure'!$C$12+S63/100*'Assessment Structure'!$C$13+T63/100*'Assessment Structure'!$C$14)</f>
        <v/>
      </c>
      <c r="V63" s="64" t="str">
        <f>IF($A63="","",IFERROR(U63/'Assessment Structure'!$B$4*100,""))</f>
        <v/>
      </c>
    </row>
    <row r="64" spans="15:22">
      <c r="O64" s="64" t="str">
        <f>IF($A64="","",IFERROR(SUM(C64:F64)/SUMIF('Question-Chapter Mapping'!$B$4:$B$100,"Test 1",'Question-Chapter Mapping'!$E$4:$E$100)*100,""))</f>
        <v/>
      </c>
      <c r="P64" s="64" t="str">
        <f>IF($A64="","",IFERROR(SUM(G64:J64)/SUMIF('Question-Chapter Mapping'!$B$4:$B$100,"Test 2",'Question-Chapter Mapping'!$E$4:$E$100)*100,""))</f>
        <v/>
      </c>
      <c r="Q64" s="64" t="str">
        <f>IF($A64="","",IFERROR(K64/'Assessment Structure'!$D$11*100,""))</f>
        <v/>
      </c>
      <c r="R64" s="64" t="str">
        <f>IF($A64="","",IFERROR(L64/'Assessment Structure'!$D$12*100,""))</f>
        <v/>
      </c>
      <c r="S64" s="64" t="str">
        <f>IF($A64="","",IFERROR(M64/'Assessment Structure'!$D$13*100,""))</f>
        <v/>
      </c>
      <c r="T64" s="64" t="str">
        <f>IF($A64="","",IFERROR(N64/'Assessment Structure'!$D$14*100,""))</f>
        <v/>
      </c>
      <c r="U64" s="64" t="str">
        <f>IF($A64="","",O64/100*'Assessment Structure'!$C$9+P64/100*'Assessment Structure'!$C$10+Q64/100*'Assessment Structure'!$C$11+R64/100*'Assessment Structure'!$C$12+S64/100*'Assessment Structure'!$C$13+T64/100*'Assessment Structure'!$C$14)</f>
        <v/>
      </c>
      <c r="V64" s="64" t="str">
        <f>IF($A64="","",IFERROR(U64/'Assessment Structure'!$B$4*100,""))</f>
        <v/>
      </c>
    </row>
    <row r="65" spans="15:22">
      <c r="O65" s="64" t="str">
        <f>IF($A65="","",IFERROR(SUM(C65:F65)/SUMIF('Question-Chapter Mapping'!$B$4:$B$100,"Test 1",'Question-Chapter Mapping'!$E$4:$E$100)*100,""))</f>
        <v/>
      </c>
      <c r="P65" s="64" t="str">
        <f>IF($A65="","",IFERROR(SUM(G65:J65)/SUMIF('Question-Chapter Mapping'!$B$4:$B$100,"Test 2",'Question-Chapter Mapping'!$E$4:$E$100)*100,""))</f>
        <v/>
      </c>
      <c r="Q65" s="64" t="str">
        <f>IF($A65="","",IFERROR(K65/'Assessment Structure'!$D$11*100,""))</f>
        <v/>
      </c>
      <c r="R65" s="64" t="str">
        <f>IF($A65="","",IFERROR(L65/'Assessment Structure'!$D$12*100,""))</f>
        <v/>
      </c>
      <c r="S65" s="64" t="str">
        <f>IF($A65="","",IFERROR(M65/'Assessment Structure'!$D$13*100,""))</f>
        <v/>
      </c>
      <c r="T65" s="64" t="str">
        <f>IF($A65="","",IFERROR(N65/'Assessment Structure'!$D$14*100,""))</f>
        <v/>
      </c>
      <c r="U65" s="64" t="str">
        <f>IF($A65="","",O65/100*'Assessment Structure'!$C$9+P65/100*'Assessment Structure'!$C$10+Q65/100*'Assessment Structure'!$C$11+R65/100*'Assessment Structure'!$C$12+S65/100*'Assessment Structure'!$C$13+T65/100*'Assessment Structure'!$C$14)</f>
        <v/>
      </c>
      <c r="V65" s="64" t="str">
        <f>IF($A65="","",IFERROR(U65/'Assessment Structure'!$B$4*100,""))</f>
        <v/>
      </c>
    </row>
    <row r="66" spans="15:22">
      <c r="O66" s="64" t="str">
        <f>IF($A66="","",IFERROR(SUM(C66:F66)/SUMIF('Question-Chapter Mapping'!$B$4:$B$100,"Test 1",'Question-Chapter Mapping'!$E$4:$E$100)*100,""))</f>
        <v/>
      </c>
      <c r="P66" s="64" t="str">
        <f>IF($A66="","",IFERROR(SUM(G66:J66)/SUMIF('Question-Chapter Mapping'!$B$4:$B$100,"Test 2",'Question-Chapter Mapping'!$E$4:$E$100)*100,""))</f>
        <v/>
      </c>
      <c r="Q66" s="64" t="str">
        <f>IF($A66="","",IFERROR(K66/'Assessment Structure'!$D$11*100,""))</f>
        <v/>
      </c>
      <c r="R66" s="64" t="str">
        <f>IF($A66="","",IFERROR(L66/'Assessment Structure'!$D$12*100,""))</f>
        <v/>
      </c>
      <c r="S66" s="64" t="str">
        <f>IF($A66="","",IFERROR(M66/'Assessment Structure'!$D$13*100,""))</f>
        <v/>
      </c>
      <c r="T66" s="64" t="str">
        <f>IF($A66="","",IFERROR(N66/'Assessment Structure'!$D$14*100,""))</f>
        <v/>
      </c>
      <c r="U66" s="64" t="str">
        <f>IF($A66="","",O66/100*'Assessment Structure'!$C$9+P66/100*'Assessment Structure'!$C$10+Q66/100*'Assessment Structure'!$C$11+R66/100*'Assessment Structure'!$C$12+S66/100*'Assessment Structure'!$C$13+T66/100*'Assessment Structure'!$C$14)</f>
        <v/>
      </c>
      <c r="V66" s="64" t="str">
        <f>IF($A66="","",IFERROR(U66/'Assessment Structure'!$B$4*100,""))</f>
        <v/>
      </c>
    </row>
    <row r="67" spans="15:22">
      <c r="O67" s="64" t="str">
        <f>IF($A67="","",IFERROR(SUM(C67:F67)/SUMIF('Question-Chapter Mapping'!$B$4:$B$100,"Test 1",'Question-Chapter Mapping'!$E$4:$E$100)*100,""))</f>
        <v/>
      </c>
      <c r="P67" s="64" t="str">
        <f>IF($A67="","",IFERROR(SUM(G67:J67)/SUMIF('Question-Chapter Mapping'!$B$4:$B$100,"Test 2",'Question-Chapter Mapping'!$E$4:$E$100)*100,""))</f>
        <v/>
      </c>
      <c r="Q67" s="64" t="str">
        <f>IF($A67="","",IFERROR(K67/'Assessment Structure'!$D$11*100,""))</f>
        <v/>
      </c>
      <c r="R67" s="64" t="str">
        <f>IF($A67="","",IFERROR(L67/'Assessment Structure'!$D$12*100,""))</f>
        <v/>
      </c>
      <c r="S67" s="64" t="str">
        <f>IF($A67="","",IFERROR(M67/'Assessment Structure'!$D$13*100,""))</f>
        <v/>
      </c>
      <c r="T67" s="64" t="str">
        <f>IF($A67="","",IFERROR(N67/'Assessment Structure'!$D$14*100,""))</f>
        <v/>
      </c>
      <c r="U67" s="64" t="str">
        <f>IF($A67="","",O67/100*'Assessment Structure'!$C$9+P67/100*'Assessment Structure'!$C$10+Q67/100*'Assessment Structure'!$C$11+R67/100*'Assessment Structure'!$C$12+S67/100*'Assessment Structure'!$C$13+T67/100*'Assessment Structure'!$C$14)</f>
        <v/>
      </c>
      <c r="V67" s="64" t="str">
        <f>IF($A67="","",IFERROR(U67/'Assessment Structure'!$B$4*100,""))</f>
        <v/>
      </c>
    </row>
    <row r="68" spans="15:22">
      <c r="O68" s="64" t="str">
        <f>IF($A68="","",IFERROR(SUM(C68:F68)/SUMIF('Question-Chapter Mapping'!$B$4:$B$100,"Test 1",'Question-Chapter Mapping'!$E$4:$E$100)*100,""))</f>
        <v/>
      </c>
      <c r="P68" s="64" t="str">
        <f>IF($A68="","",IFERROR(SUM(G68:J68)/SUMIF('Question-Chapter Mapping'!$B$4:$B$100,"Test 2",'Question-Chapter Mapping'!$E$4:$E$100)*100,""))</f>
        <v/>
      </c>
      <c r="Q68" s="64" t="str">
        <f>IF($A68="","",IFERROR(K68/'Assessment Structure'!$D$11*100,""))</f>
        <v/>
      </c>
      <c r="R68" s="64" t="str">
        <f>IF($A68="","",IFERROR(L68/'Assessment Structure'!$D$12*100,""))</f>
        <v/>
      </c>
      <c r="S68" s="64" t="str">
        <f>IF($A68="","",IFERROR(M68/'Assessment Structure'!$D$13*100,""))</f>
        <v/>
      </c>
      <c r="T68" s="64" t="str">
        <f>IF($A68="","",IFERROR(N68/'Assessment Structure'!$D$14*100,""))</f>
        <v/>
      </c>
      <c r="U68" s="64" t="str">
        <f>IF($A68="","",O68/100*'Assessment Structure'!$C$9+P68/100*'Assessment Structure'!$C$10+Q68/100*'Assessment Structure'!$C$11+R68/100*'Assessment Structure'!$C$12+S68/100*'Assessment Structure'!$C$13+T68/100*'Assessment Structure'!$C$14)</f>
        <v/>
      </c>
      <c r="V68" s="64" t="str">
        <f>IF($A68="","",IFERROR(U68/'Assessment Structure'!$B$4*100,""))</f>
        <v/>
      </c>
    </row>
    <row r="69" spans="15:22">
      <c r="O69" s="64" t="str">
        <f>IF($A69="","",IFERROR(SUM(C69:F69)/SUMIF('Question-Chapter Mapping'!$B$4:$B$100,"Test 1",'Question-Chapter Mapping'!$E$4:$E$100)*100,""))</f>
        <v/>
      </c>
      <c r="P69" s="64" t="str">
        <f>IF($A69="","",IFERROR(SUM(G69:J69)/SUMIF('Question-Chapter Mapping'!$B$4:$B$100,"Test 2",'Question-Chapter Mapping'!$E$4:$E$100)*100,""))</f>
        <v/>
      </c>
      <c r="Q69" s="64" t="str">
        <f>IF($A69="","",IFERROR(K69/'Assessment Structure'!$D$11*100,""))</f>
        <v/>
      </c>
      <c r="R69" s="64" t="str">
        <f>IF($A69="","",IFERROR(L69/'Assessment Structure'!$D$12*100,""))</f>
        <v/>
      </c>
      <c r="S69" s="64" t="str">
        <f>IF($A69="","",IFERROR(M69/'Assessment Structure'!$D$13*100,""))</f>
        <v/>
      </c>
      <c r="T69" s="64" t="str">
        <f>IF($A69="","",IFERROR(N69/'Assessment Structure'!$D$14*100,""))</f>
        <v/>
      </c>
      <c r="U69" s="64" t="str">
        <f>IF($A69="","",O69/100*'Assessment Structure'!$C$9+P69/100*'Assessment Structure'!$C$10+Q69/100*'Assessment Structure'!$C$11+R69/100*'Assessment Structure'!$C$12+S69/100*'Assessment Structure'!$C$13+T69/100*'Assessment Structure'!$C$14)</f>
        <v/>
      </c>
      <c r="V69" s="64" t="str">
        <f>IF($A69="","",IFERROR(U69/'Assessment Structure'!$B$4*100,""))</f>
        <v/>
      </c>
    </row>
    <row r="70" spans="15:22">
      <c r="O70" s="64" t="str">
        <f>IF($A70="","",IFERROR(SUM(C70:F70)/SUMIF('Question-Chapter Mapping'!$B$4:$B$100,"Test 1",'Question-Chapter Mapping'!$E$4:$E$100)*100,""))</f>
        <v/>
      </c>
      <c r="P70" s="64" t="str">
        <f>IF($A70="","",IFERROR(SUM(G70:J70)/SUMIF('Question-Chapter Mapping'!$B$4:$B$100,"Test 2",'Question-Chapter Mapping'!$E$4:$E$100)*100,""))</f>
        <v/>
      </c>
      <c r="Q70" s="64" t="str">
        <f>IF($A70="","",IFERROR(K70/'Assessment Structure'!$D$11*100,""))</f>
        <v/>
      </c>
      <c r="R70" s="64" t="str">
        <f>IF($A70="","",IFERROR(L70/'Assessment Structure'!$D$12*100,""))</f>
        <v/>
      </c>
      <c r="S70" s="64" t="str">
        <f>IF($A70="","",IFERROR(M70/'Assessment Structure'!$D$13*100,""))</f>
        <v/>
      </c>
      <c r="T70" s="64" t="str">
        <f>IF($A70="","",IFERROR(N70/'Assessment Structure'!$D$14*100,""))</f>
        <v/>
      </c>
      <c r="U70" s="64" t="str">
        <f>IF($A70="","",O70/100*'Assessment Structure'!$C$9+P70/100*'Assessment Structure'!$C$10+Q70/100*'Assessment Structure'!$C$11+R70/100*'Assessment Structure'!$C$12+S70/100*'Assessment Structure'!$C$13+T70/100*'Assessment Structure'!$C$14)</f>
        <v/>
      </c>
      <c r="V70" s="64" t="str">
        <f>IF($A70="","",IFERROR(U70/'Assessment Structure'!$B$4*100,""))</f>
        <v/>
      </c>
    </row>
    <row r="71" spans="15:22">
      <c r="O71" s="64" t="str">
        <f>IF($A71="","",IFERROR(SUM(C71:F71)/SUMIF('Question-Chapter Mapping'!$B$4:$B$100,"Test 1",'Question-Chapter Mapping'!$E$4:$E$100)*100,""))</f>
        <v/>
      </c>
      <c r="P71" s="64" t="str">
        <f>IF($A71="","",IFERROR(SUM(G71:J71)/SUMIF('Question-Chapter Mapping'!$B$4:$B$100,"Test 2",'Question-Chapter Mapping'!$E$4:$E$100)*100,""))</f>
        <v/>
      </c>
      <c r="Q71" s="64" t="str">
        <f>IF($A71="","",IFERROR(K71/'Assessment Structure'!$D$11*100,""))</f>
        <v/>
      </c>
      <c r="R71" s="64" t="str">
        <f>IF($A71="","",IFERROR(L71/'Assessment Structure'!$D$12*100,""))</f>
        <v/>
      </c>
      <c r="S71" s="64" t="str">
        <f>IF($A71="","",IFERROR(M71/'Assessment Structure'!$D$13*100,""))</f>
        <v/>
      </c>
      <c r="T71" s="64" t="str">
        <f>IF($A71="","",IFERROR(N71/'Assessment Structure'!$D$14*100,""))</f>
        <v/>
      </c>
      <c r="U71" s="64" t="str">
        <f>IF($A71="","",O71/100*'Assessment Structure'!$C$9+P71/100*'Assessment Structure'!$C$10+Q71/100*'Assessment Structure'!$C$11+R71/100*'Assessment Structure'!$C$12+S71/100*'Assessment Structure'!$C$13+T71/100*'Assessment Structure'!$C$14)</f>
        <v/>
      </c>
      <c r="V71" s="64" t="str">
        <f>IF($A71="","",IFERROR(U71/'Assessment Structure'!$B$4*100,""))</f>
        <v/>
      </c>
    </row>
    <row r="72" spans="15:22">
      <c r="O72" s="64" t="str">
        <f>IF($A72="","",IFERROR(SUM(C72:F72)/SUMIF('Question-Chapter Mapping'!$B$4:$B$100,"Test 1",'Question-Chapter Mapping'!$E$4:$E$100)*100,""))</f>
        <v/>
      </c>
      <c r="P72" s="64" t="str">
        <f>IF($A72="","",IFERROR(SUM(G72:J72)/SUMIF('Question-Chapter Mapping'!$B$4:$B$100,"Test 2",'Question-Chapter Mapping'!$E$4:$E$100)*100,""))</f>
        <v/>
      </c>
      <c r="Q72" s="64" t="str">
        <f>IF($A72="","",IFERROR(K72/'Assessment Structure'!$D$11*100,""))</f>
        <v/>
      </c>
      <c r="R72" s="64" t="str">
        <f>IF($A72="","",IFERROR(L72/'Assessment Structure'!$D$12*100,""))</f>
        <v/>
      </c>
      <c r="S72" s="64" t="str">
        <f>IF($A72="","",IFERROR(M72/'Assessment Structure'!$D$13*100,""))</f>
        <v/>
      </c>
      <c r="T72" s="64" t="str">
        <f>IF($A72="","",IFERROR(N72/'Assessment Structure'!$D$14*100,""))</f>
        <v/>
      </c>
      <c r="U72" s="64" t="str">
        <f>IF($A72="","",O72/100*'Assessment Structure'!$C$9+P72/100*'Assessment Structure'!$C$10+Q72/100*'Assessment Structure'!$C$11+R72/100*'Assessment Structure'!$C$12+S72/100*'Assessment Structure'!$C$13+T72/100*'Assessment Structure'!$C$14)</f>
        <v/>
      </c>
      <c r="V72" s="64" t="str">
        <f>IF($A72="","",IFERROR(U72/'Assessment Structure'!$B$4*100,""))</f>
        <v/>
      </c>
    </row>
    <row r="73" spans="15:22">
      <c r="O73" s="64" t="str">
        <f>IF($A73="","",IFERROR(SUM(C73:F73)/SUMIF('Question-Chapter Mapping'!$B$4:$B$100,"Test 1",'Question-Chapter Mapping'!$E$4:$E$100)*100,""))</f>
        <v/>
      </c>
      <c r="P73" s="64" t="str">
        <f>IF($A73="","",IFERROR(SUM(G73:J73)/SUMIF('Question-Chapter Mapping'!$B$4:$B$100,"Test 2",'Question-Chapter Mapping'!$E$4:$E$100)*100,""))</f>
        <v/>
      </c>
      <c r="Q73" s="64" t="str">
        <f>IF($A73="","",IFERROR(K73/'Assessment Structure'!$D$11*100,""))</f>
        <v/>
      </c>
      <c r="R73" s="64" t="str">
        <f>IF($A73="","",IFERROR(L73/'Assessment Structure'!$D$12*100,""))</f>
        <v/>
      </c>
      <c r="S73" s="64" t="str">
        <f>IF($A73="","",IFERROR(M73/'Assessment Structure'!$D$13*100,""))</f>
        <v/>
      </c>
      <c r="T73" s="64" t="str">
        <f>IF($A73="","",IFERROR(N73/'Assessment Structure'!$D$14*100,""))</f>
        <v/>
      </c>
      <c r="U73" s="64" t="str">
        <f>IF($A73="","",O73/100*'Assessment Structure'!$C$9+P73/100*'Assessment Structure'!$C$10+Q73/100*'Assessment Structure'!$C$11+R73/100*'Assessment Structure'!$C$12+S73/100*'Assessment Structure'!$C$13+T73/100*'Assessment Structure'!$C$14)</f>
        <v/>
      </c>
      <c r="V73" s="64" t="str">
        <f>IF($A73="","",IFERROR(U73/'Assessment Structure'!$B$4*100,""))</f>
        <v/>
      </c>
    </row>
    <row r="74" spans="15:22">
      <c r="O74" s="64" t="str">
        <f>IF($A74="","",IFERROR(SUM(C74:F74)/SUMIF('Question-Chapter Mapping'!$B$4:$B$100,"Test 1",'Question-Chapter Mapping'!$E$4:$E$100)*100,""))</f>
        <v/>
      </c>
      <c r="P74" s="64" t="str">
        <f>IF($A74="","",IFERROR(SUM(G74:J74)/SUMIF('Question-Chapter Mapping'!$B$4:$B$100,"Test 2",'Question-Chapter Mapping'!$E$4:$E$100)*100,""))</f>
        <v/>
      </c>
      <c r="Q74" s="64" t="str">
        <f>IF($A74="","",IFERROR(K74/'Assessment Structure'!$D$11*100,""))</f>
        <v/>
      </c>
      <c r="R74" s="64" t="str">
        <f>IF($A74="","",IFERROR(L74/'Assessment Structure'!$D$12*100,""))</f>
        <v/>
      </c>
      <c r="S74" s="64" t="str">
        <f>IF($A74="","",IFERROR(M74/'Assessment Structure'!$D$13*100,""))</f>
        <v/>
      </c>
      <c r="T74" s="64" t="str">
        <f>IF($A74="","",IFERROR(N74/'Assessment Structure'!$D$14*100,""))</f>
        <v/>
      </c>
      <c r="U74" s="64" t="str">
        <f>IF($A74="","",O74/100*'Assessment Structure'!$C$9+P74/100*'Assessment Structure'!$C$10+Q74/100*'Assessment Structure'!$C$11+R74/100*'Assessment Structure'!$C$12+S74/100*'Assessment Structure'!$C$13+T74/100*'Assessment Structure'!$C$14)</f>
        <v/>
      </c>
      <c r="V74" s="64" t="str">
        <f>IF($A74="","",IFERROR(U74/'Assessment Structure'!$B$4*100,""))</f>
        <v/>
      </c>
    </row>
    <row r="75" spans="15:22">
      <c r="O75" s="64" t="str">
        <f>IF($A75="","",IFERROR(SUM(C75:F75)/SUMIF('Question-Chapter Mapping'!$B$4:$B$100,"Test 1",'Question-Chapter Mapping'!$E$4:$E$100)*100,""))</f>
        <v/>
      </c>
      <c r="P75" s="64" t="str">
        <f>IF($A75="","",IFERROR(SUM(G75:J75)/SUMIF('Question-Chapter Mapping'!$B$4:$B$100,"Test 2",'Question-Chapter Mapping'!$E$4:$E$100)*100,""))</f>
        <v/>
      </c>
      <c r="Q75" s="64" t="str">
        <f>IF($A75="","",IFERROR(K75/'Assessment Structure'!$D$11*100,""))</f>
        <v/>
      </c>
      <c r="R75" s="64" t="str">
        <f>IF($A75="","",IFERROR(L75/'Assessment Structure'!$D$12*100,""))</f>
        <v/>
      </c>
      <c r="S75" s="64" t="str">
        <f>IF($A75="","",IFERROR(M75/'Assessment Structure'!$D$13*100,""))</f>
        <v/>
      </c>
      <c r="T75" s="64" t="str">
        <f>IF($A75="","",IFERROR(N75/'Assessment Structure'!$D$14*100,""))</f>
        <v/>
      </c>
      <c r="U75" s="64" t="str">
        <f>IF($A75="","",O75/100*'Assessment Structure'!$C$9+P75/100*'Assessment Structure'!$C$10+Q75/100*'Assessment Structure'!$C$11+R75/100*'Assessment Structure'!$C$12+S75/100*'Assessment Structure'!$C$13+T75/100*'Assessment Structure'!$C$14)</f>
        <v/>
      </c>
      <c r="V75" s="64" t="str">
        <f>IF($A75="","",IFERROR(U75/'Assessment Structure'!$B$4*100,""))</f>
        <v/>
      </c>
    </row>
    <row r="76" spans="15:22">
      <c r="O76" s="64" t="str">
        <f>IF($A76="","",IFERROR(SUM(C76:F76)/SUMIF('Question-Chapter Mapping'!$B$4:$B$100,"Test 1",'Question-Chapter Mapping'!$E$4:$E$100)*100,""))</f>
        <v/>
      </c>
      <c r="P76" s="64" t="str">
        <f>IF($A76="","",IFERROR(SUM(G76:J76)/SUMIF('Question-Chapter Mapping'!$B$4:$B$100,"Test 2",'Question-Chapter Mapping'!$E$4:$E$100)*100,""))</f>
        <v/>
      </c>
      <c r="Q76" s="64" t="str">
        <f>IF($A76="","",IFERROR(K76/'Assessment Structure'!$D$11*100,""))</f>
        <v/>
      </c>
      <c r="R76" s="64" t="str">
        <f>IF($A76="","",IFERROR(L76/'Assessment Structure'!$D$12*100,""))</f>
        <v/>
      </c>
      <c r="S76" s="64" t="str">
        <f>IF($A76="","",IFERROR(M76/'Assessment Structure'!$D$13*100,""))</f>
        <v/>
      </c>
      <c r="T76" s="64" t="str">
        <f>IF($A76="","",IFERROR(N76/'Assessment Structure'!$D$14*100,""))</f>
        <v/>
      </c>
      <c r="U76" s="64" t="str">
        <f>IF($A76="","",O76/100*'Assessment Structure'!$C$9+P76/100*'Assessment Structure'!$C$10+Q76/100*'Assessment Structure'!$C$11+R76/100*'Assessment Structure'!$C$12+S76/100*'Assessment Structure'!$C$13+T76/100*'Assessment Structure'!$C$14)</f>
        <v/>
      </c>
      <c r="V76" s="64" t="str">
        <f>IF($A76="","",IFERROR(U76/'Assessment Structure'!$B$4*100,""))</f>
        <v/>
      </c>
    </row>
    <row r="77" spans="15:22">
      <c r="O77" s="64" t="str">
        <f>IF($A77="","",IFERROR(SUM(C77:F77)/SUMIF('Question-Chapter Mapping'!$B$4:$B$100,"Test 1",'Question-Chapter Mapping'!$E$4:$E$100)*100,""))</f>
        <v/>
      </c>
      <c r="P77" s="64" t="str">
        <f>IF($A77="","",IFERROR(SUM(G77:J77)/SUMIF('Question-Chapter Mapping'!$B$4:$B$100,"Test 2",'Question-Chapter Mapping'!$E$4:$E$100)*100,""))</f>
        <v/>
      </c>
      <c r="Q77" s="64" t="str">
        <f>IF($A77="","",IFERROR(K77/'Assessment Structure'!$D$11*100,""))</f>
        <v/>
      </c>
      <c r="R77" s="64" t="str">
        <f>IF($A77="","",IFERROR(L77/'Assessment Structure'!$D$12*100,""))</f>
        <v/>
      </c>
      <c r="S77" s="64" t="str">
        <f>IF($A77="","",IFERROR(M77/'Assessment Structure'!$D$13*100,""))</f>
        <v/>
      </c>
      <c r="T77" s="64" t="str">
        <f>IF($A77="","",IFERROR(N77/'Assessment Structure'!$D$14*100,""))</f>
        <v/>
      </c>
      <c r="U77" s="64" t="str">
        <f>IF($A77="","",O77/100*'Assessment Structure'!$C$9+P77/100*'Assessment Structure'!$C$10+Q77/100*'Assessment Structure'!$C$11+R77/100*'Assessment Structure'!$C$12+S77/100*'Assessment Structure'!$C$13+T77/100*'Assessment Structure'!$C$14)</f>
        <v/>
      </c>
      <c r="V77" s="64" t="str">
        <f>IF($A77="","",IFERROR(U77/'Assessment Structure'!$B$4*100,""))</f>
        <v/>
      </c>
    </row>
    <row r="78" spans="15:22">
      <c r="O78" s="64" t="str">
        <f>IF($A78="","",IFERROR(SUM(C78:F78)/SUMIF('Question-Chapter Mapping'!$B$4:$B$100,"Test 1",'Question-Chapter Mapping'!$E$4:$E$100)*100,""))</f>
        <v/>
      </c>
      <c r="P78" s="64" t="str">
        <f>IF($A78="","",IFERROR(SUM(G78:J78)/SUMIF('Question-Chapter Mapping'!$B$4:$B$100,"Test 2",'Question-Chapter Mapping'!$E$4:$E$100)*100,""))</f>
        <v/>
      </c>
      <c r="Q78" s="64" t="str">
        <f>IF($A78="","",IFERROR(K78/'Assessment Structure'!$D$11*100,""))</f>
        <v/>
      </c>
      <c r="R78" s="64" t="str">
        <f>IF($A78="","",IFERROR(L78/'Assessment Structure'!$D$12*100,""))</f>
        <v/>
      </c>
      <c r="S78" s="64" t="str">
        <f>IF($A78="","",IFERROR(M78/'Assessment Structure'!$D$13*100,""))</f>
        <v/>
      </c>
      <c r="T78" s="64" t="str">
        <f>IF($A78="","",IFERROR(N78/'Assessment Structure'!$D$14*100,""))</f>
        <v/>
      </c>
      <c r="U78" s="64" t="str">
        <f>IF($A78="","",O78/100*'Assessment Structure'!$C$9+P78/100*'Assessment Structure'!$C$10+Q78/100*'Assessment Structure'!$C$11+R78/100*'Assessment Structure'!$C$12+S78/100*'Assessment Structure'!$C$13+T78/100*'Assessment Structure'!$C$14)</f>
        <v/>
      </c>
      <c r="V78" s="64" t="str">
        <f>IF($A78="","",IFERROR(U78/'Assessment Structure'!$B$4*100,""))</f>
        <v/>
      </c>
    </row>
    <row r="79" spans="15:22">
      <c r="O79" s="64" t="str">
        <f>IF($A79="","",IFERROR(SUM(C79:F79)/SUMIF('Question-Chapter Mapping'!$B$4:$B$100,"Test 1",'Question-Chapter Mapping'!$E$4:$E$100)*100,""))</f>
        <v/>
      </c>
      <c r="P79" s="64" t="str">
        <f>IF($A79="","",IFERROR(SUM(G79:J79)/SUMIF('Question-Chapter Mapping'!$B$4:$B$100,"Test 2",'Question-Chapter Mapping'!$E$4:$E$100)*100,""))</f>
        <v/>
      </c>
      <c r="Q79" s="64" t="str">
        <f>IF($A79="","",IFERROR(K79/'Assessment Structure'!$D$11*100,""))</f>
        <v/>
      </c>
      <c r="R79" s="64" t="str">
        <f>IF($A79="","",IFERROR(L79/'Assessment Structure'!$D$12*100,""))</f>
        <v/>
      </c>
      <c r="S79" s="64" t="str">
        <f>IF($A79="","",IFERROR(M79/'Assessment Structure'!$D$13*100,""))</f>
        <v/>
      </c>
      <c r="T79" s="64" t="str">
        <f>IF($A79="","",IFERROR(N79/'Assessment Structure'!$D$14*100,""))</f>
        <v/>
      </c>
      <c r="U79" s="64" t="str">
        <f>IF($A79="","",O79/100*'Assessment Structure'!$C$9+P79/100*'Assessment Structure'!$C$10+Q79/100*'Assessment Structure'!$C$11+R79/100*'Assessment Structure'!$C$12+S79/100*'Assessment Structure'!$C$13+T79/100*'Assessment Structure'!$C$14)</f>
        <v/>
      </c>
      <c r="V79" s="64" t="str">
        <f>IF($A79="","",IFERROR(U79/'Assessment Structure'!$B$4*100,""))</f>
        <v/>
      </c>
    </row>
    <row r="80" spans="15:22">
      <c r="O80" s="64" t="str">
        <f>IF($A80="","",IFERROR(SUM(C80:F80)/SUMIF('Question-Chapter Mapping'!$B$4:$B$100,"Test 1",'Question-Chapter Mapping'!$E$4:$E$100)*100,""))</f>
        <v/>
      </c>
      <c r="P80" s="64" t="str">
        <f>IF($A80="","",IFERROR(SUM(G80:J80)/SUMIF('Question-Chapter Mapping'!$B$4:$B$100,"Test 2",'Question-Chapter Mapping'!$E$4:$E$100)*100,""))</f>
        <v/>
      </c>
      <c r="Q80" s="64" t="str">
        <f>IF($A80="","",IFERROR(K80/'Assessment Structure'!$D$11*100,""))</f>
        <v/>
      </c>
      <c r="R80" s="64" t="str">
        <f>IF($A80="","",IFERROR(L80/'Assessment Structure'!$D$12*100,""))</f>
        <v/>
      </c>
      <c r="S80" s="64" t="str">
        <f>IF($A80="","",IFERROR(M80/'Assessment Structure'!$D$13*100,""))</f>
        <v/>
      </c>
      <c r="T80" s="64" t="str">
        <f>IF($A80="","",IFERROR(N80/'Assessment Structure'!$D$14*100,""))</f>
        <v/>
      </c>
      <c r="U80" s="64" t="str">
        <f>IF($A80="","",O80/100*'Assessment Structure'!$C$9+P80/100*'Assessment Structure'!$C$10+Q80/100*'Assessment Structure'!$C$11+R80/100*'Assessment Structure'!$C$12+S80/100*'Assessment Structure'!$C$13+T80/100*'Assessment Structure'!$C$14)</f>
        <v/>
      </c>
      <c r="V80" s="64" t="str">
        <f>IF($A80="","",IFERROR(U80/'Assessment Structure'!$B$4*100,""))</f>
        <v/>
      </c>
    </row>
    <row r="81" spans="15:22">
      <c r="O81" s="64" t="str">
        <f>IF($A81="","",IFERROR(SUM(C81:F81)/SUMIF('Question-Chapter Mapping'!$B$4:$B$100,"Test 1",'Question-Chapter Mapping'!$E$4:$E$100)*100,""))</f>
        <v/>
      </c>
      <c r="P81" s="64" t="str">
        <f>IF($A81="","",IFERROR(SUM(G81:J81)/SUMIF('Question-Chapter Mapping'!$B$4:$B$100,"Test 2",'Question-Chapter Mapping'!$E$4:$E$100)*100,""))</f>
        <v/>
      </c>
      <c r="Q81" s="64" t="str">
        <f>IF($A81="","",IFERROR(K81/'Assessment Structure'!$D$11*100,""))</f>
        <v/>
      </c>
      <c r="R81" s="64" t="str">
        <f>IF($A81="","",IFERROR(L81/'Assessment Structure'!$D$12*100,""))</f>
        <v/>
      </c>
      <c r="S81" s="64" t="str">
        <f>IF($A81="","",IFERROR(M81/'Assessment Structure'!$D$13*100,""))</f>
        <v/>
      </c>
      <c r="T81" s="64" t="str">
        <f>IF($A81="","",IFERROR(N81/'Assessment Structure'!$D$14*100,""))</f>
        <v/>
      </c>
      <c r="U81" s="64" t="str">
        <f>IF($A81="","",O81/100*'Assessment Structure'!$C$9+P81/100*'Assessment Structure'!$C$10+Q81/100*'Assessment Structure'!$C$11+R81/100*'Assessment Structure'!$C$12+S81/100*'Assessment Structure'!$C$13+T81/100*'Assessment Structure'!$C$14)</f>
        <v/>
      </c>
      <c r="V81" s="64" t="str">
        <f>IF($A81="","",IFERROR(U81/'Assessment Structure'!$B$4*100,""))</f>
        <v/>
      </c>
    </row>
    <row r="82" spans="15:22">
      <c r="O82" s="64" t="str">
        <f>IF($A82="","",IFERROR(SUM(C82:F82)/SUMIF('Question-Chapter Mapping'!$B$4:$B$100,"Test 1",'Question-Chapter Mapping'!$E$4:$E$100)*100,""))</f>
        <v/>
      </c>
      <c r="P82" s="64" t="str">
        <f>IF($A82="","",IFERROR(SUM(G82:J82)/SUMIF('Question-Chapter Mapping'!$B$4:$B$100,"Test 2",'Question-Chapter Mapping'!$E$4:$E$100)*100,""))</f>
        <v/>
      </c>
      <c r="Q82" s="64" t="str">
        <f>IF($A82="","",IFERROR(K82/'Assessment Structure'!$D$11*100,""))</f>
        <v/>
      </c>
      <c r="R82" s="64" t="str">
        <f>IF($A82="","",IFERROR(L82/'Assessment Structure'!$D$12*100,""))</f>
        <v/>
      </c>
      <c r="S82" s="64" t="str">
        <f>IF($A82="","",IFERROR(M82/'Assessment Structure'!$D$13*100,""))</f>
        <v/>
      </c>
      <c r="T82" s="64" t="str">
        <f>IF($A82="","",IFERROR(N82/'Assessment Structure'!$D$14*100,""))</f>
        <v/>
      </c>
      <c r="U82" s="64" t="str">
        <f>IF($A82="","",O82/100*'Assessment Structure'!$C$9+P82/100*'Assessment Structure'!$C$10+Q82/100*'Assessment Structure'!$C$11+R82/100*'Assessment Structure'!$C$12+S82/100*'Assessment Structure'!$C$13+T82/100*'Assessment Structure'!$C$14)</f>
        <v/>
      </c>
      <c r="V82" s="64" t="str">
        <f>IF($A82="","",IFERROR(U82/'Assessment Structure'!$B$4*100,""))</f>
        <v/>
      </c>
    </row>
    <row r="83" spans="15:22">
      <c r="O83" s="64" t="str">
        <f>IF($A83="","",IFERROR(SUM(C83:F83)/SUMIF('Question-Chapter Mapping'!$B$4:$B$100,"Test 1",'Question-Chapter Mapping'!$E$4:$E$100)*100,""))</f>
        <v/>
      </c>
      <c r="P83" s="64" t="str">
        <f>IF($A83="","",IFERROR(SUM(G83:J83)/SUMIF('Question-Chapter Mapping'!$B$4:$B$100,"Test 2",'Question-Chapter Mapping'!$E$4:$E$100)*100,""))</f>
        <v/>
      </c>
      <c r="Q83" s="64" t="str">
        <f>IF($A83="","",IFERROR(K83/'Assessment Structure'!$D$11*100,""))</f>
        <v/>
      </c>
      <c r="R83" s="64" t="str">
        <f>IF($A83="","",IFERROR(L83/'Assessment Structure'!$D$12*100,""))</f>
        <v/>
      </c>
      <c r="S83" s="64" t="str">
        <f>IF($A83="","",IFERROR(M83/'Assessment Structure'!$D$13*100,""))</f>
        <v/>
      </c>
      <c r="T83" s="64" t="str">
        <f>IF($A83="","",IFERROR(N83/'Assessment Structure'!$D$14*100,""))</f>
        <v/>
      </c>
      <c r="U83" s="64" t="str">
        <f>IF($A83="","",O83/100*'Assessment Structure'!$C$9+P83/100*'Assessment Structure'!$C$10+Q83/100*'Assessment Structure'!$C$11+R83/100*'Assessment Structure'!$C$12+S83/100*'Assessment Structure'!$C$13+T83/100*'Assessment Structure'!$C$14)</f>
        <v/>
      </c>
      <c r="V83" s="64" t="str">
        <f>IF($A83="","",IFERROR(U83/'Assessment Structure'!$B$4*100,""))</f>
        <v/>
      </c>
    </row>
    <row r="84" spans="15:22">
      <c r="O84" s="64" t="str">
        <f>IF($A84="","",IFERROR(SUM(C84:F84)/SUMIF('Question-Chapter Mapping'!$B$4:$B$100,"Test 1",'Question-Chapter Mapping'!$E$4:$E$100)*100,""))</f>
        <v/>
      </c>
      <c r="P84" s="64" t="str">
        <f>IF($A84="","",IFERROR(SUM(G84:J84)/SUMIF('Question-Chapter Mapping'!$B$4:$B$100,"Test 2",'Question-Chapter Mapping'!$E$4:$E$100)*100,""))</f>
        <v/>
      </c>
      <c r="Q84" s="64" t="str">
        <f>IF($A84="","",IFERROR(K84/'Assessment Structure'!$D$11*100,""))</f>
        <v/>
      </c>
      <c r="R84" s="64" t="str">
        <f>IF($A84="","",IFERROR(L84/'Assessment Structure'!$D$12*100,""))</f>
        <v/>
      </c>
      <c r="S84" s="64" t="str">
        <f>IF($A84="","",IFERROR(M84/'Assessment Structure'!$D$13*100,""))</f>
        <v/>
      </c>
      <c r="T84" s="64" t="str">
        <f>IF($A84="","",IFERROR(N84/'Assessment Structure'!$D$14*100,""))</f>
        <v/>
      </c>
      <c r="U84" s="64" t="str">
        <f>IF($A84="","",O84/100*'Assessment Structure'!$C$9+P84/100*'Assessment Structure'!$C$10+Q84/100*'Assessment Structure'!$C$11+R84/100*'Assessment Structure'!$C$12+S84/100*'Assessment Structure'!$C$13+T84/100*'Assessment Structure'!$C$14)</f>
        <v/>
      </c>
      <c r="V84" s="64" t="str">
        <f>IF($A84="","",IFERROR(U84/'Assessment Structure'!$B$4*100,""))</f>
        <v/>
      </c>
    </row>
    <row r="85" spans="15:22">
      <c r="O85" s="64" t="str">
        <f>IF($A85="","",IFERROR(SUM(C85:F85)/SUMIF('Question-Chapter Mapping'!$B$4:$B$100,"Test 1",'Question-Chapter Mapping'!$E$4:$E$100)*100,""))</f>
        <v/>
      </c>
      <c r="P85" s="64" t="str">
        <f>IF($A85="","",IFERROR(SUM(G85:J85)/SUMIF('Question-Chapter Mapping'!$B$4:$B$100,"Test 2",'Question-Chapter Mapping'!$E$4:$E$100)*100,""))</f>
        <v/>
      </c>
      <c r="Q85" s="64" t="str">
        <f>IF($A85="","",IFERROR(K85/'Assessment Structure'!$D$11*100,""))</f>
        <v/>
      </c>
      <c r="R85" s="64" t="str">
        <f>IF($A85="","",IFERROR(L85/'Assessment Structure'!$D$12*100,""))</f>
        <v/>
      </c>
      <c r="S85" s="64" t="str">
        <f>IF($A85="","",IFERROR(M85/'Assessment Structure'!$D$13*100,""))</f>
        <v/>
      </c>
      <c r="T85" s="64" t="str">
        <f>IF($A85="","",IFERROR(N85/'Assessment Structure'!$D$14*100,""))</f>
        <v/>
      </c>
      <c r="U85" s="64" t="str">
        <f>IF($A85="","",O85/100*'Assessment Structure'!$C$9+P85/100*'Assessment Structure'!$C$10+Q85/100*'Assessment Structure'!$C$11+R85/100*'Assessment Structure'!$C$12+S85/100*'Assessment Structure'!$C$13+T85/100*'Assessment Structure'!$C$14)</f>
        <v/>
      </c>
      <c r="V85" s="64" t="str">
        <f>IF($A85="","",IFERROR(U85/'Assessment Structure'!$B$4*100,""))</f>
        <v/>
      </c>
    </row>
    <row r="86" spans="15:22">
      <c r="O86" s="64" t="str">
        <f>IF($A86="","",IFERROR(SUM(C86:F86)/SUMIF('Question-Chapter Mapping'!$B$4:$B$100,"Test 1",'Question-Chapter Mapping'!$E$4:$E$100)*100,""))</f>
        <v/>
      </c>
      <c r="P86" s="64" t="str">
        <f>IF($A86="","",IFERROR(SUM(G86:J86)/SUMIF('Question-Chapter Mapping'!$B$4:$B$100,"Test 2",'Question-Chapter Mapping'!$E$4:$E$100)*100,""))</f>
        <v/>
      </c>
      <c r="Q86" s="64" t="str">
        <f>IF($A86="","",IFERROR(K86/'Assessment Structure'!$D$11*100,""))</f>
        <v/>
      </c>
      <c r="R86" s="64" t="str">
        <f>IF($A86="","",IFERROR(L86/'Assessment Structure'!$D$12*100,""))</f>
        <v/>
      </c>
      <c r="S86" s="64" t="str">
        <f>IF($A86="","",IFERROR(M86/'Assessment Structure'!$D$13*100,""))</f>
        <v/>
      </c>
      <c r="T86" s="64" t="str">
        <f>IF($A86="","",IFERROR(N86/'Assessment Structure'!$D$14*100,""))</f>
        <v/>
      </c>
      <c r="U86" s="64" t="str">
        <f>IF($A86="","",O86/100*'Assessment Structure'!$C$9+P86/100*'Assessment Structure'!$C$10+Q86/100*'Assessment Structure'!$C$11+R86/100*'Assessment Structure'!$C$12+S86/100*'Assessment Structure'!$C$13+T86/100*'Assessment Structure'!$C$14)</f>
        <v/>
      </c>
      <c r="V86" s="64" t="str">
        <f>IF($A86="","",IFERROR(U86/'Assessment Structure'!$B$4*100,""))</f>
        <v/>
      </c>
    </row>
    <row r="87" spans="15:22">
      <c r="O87" s="64" t="str">
        <f>IF($A87="","",IFERROR(SUM(C87:F87)/SUMIF('Question-Chapter Mapping'!$B$4:$B$100,"Test 1",'Question-Chapter Mapping'!$E$4:$E$100)*100,""))</f>
        <v/>
      </c>
      <c r="P87" s="64" t="str">
        <f>IF($A87="","",IFERROR(SUM(G87:J87)/SUMIF('Question-Chapter Mapping'!$B$4:$B$100,"Test 2",'Question-Chapter Mapping'!$E$4:$E$100)*100,""))</f>
        <v/>
      </c>
      <c r="Q87" s="64" t="str">
        <f>IF($A87="","",IFERROR(K87/'Assessment Structure'!$D$11*100,""))</f>
        <v/>
      </c>
      <c r="R87" s="64" t="str">
        <f>IF($A87="","",IFERROR(L87/'Assessment Structure'!$D$12*100,""))</f>
        <v/>
      </c>
      <c r="S87" s="64" t="str">
        <f>IF($A87="","",IFERROR(M87/'Assessment Structure'!$D$13*100,""))</f>
        <v/>
      </c>
      <c r="T87" s="64" t="str">
        <f>IF($A87="","",IFERROR(N87/'Assessment Structure'!$D$14*100,""))</f>
        <v/>
      </c>
      <c r="U87" s="64" t="str">
        <f>IF($A87="","",O87/100*'Assessment Structure'!$C$9+P87/100*'Assessment Structure'!$C$10+Q87/100*'Assessment Structure'!$C$11+R87/100*'Assessment Structure'!$C$12+S87/100*'Assessment Structure'!$C$13+T87/100*'Assessment Structure'!$C$14)</f>
        <v/>
      </c>
      <c r="V87" s="64" t="str">
        <f>IF($A87="","",IFERROR(U87/'Assessment Structure'!$B$4*100,""))</f>
        <v/>
      </c>
    </row>
    <row r="88" spans="15:22">
      <c r="O88" s="64" t="str">
        <f>IF($A88="","",IFERROR(SUM(C88:F88)/SUMIF('Question-Chapter Mapping'!$B$4:$B$100,"Test 1",'Question-Chapter Mapping'!$E$4:$E$100)*100,""))</f>
        <v/>
      </c>
      <c r="P88" s="64" t="str">
        <f>IF($A88="","",IFERROR(SUM(G88:J88)/SUMIF('Question-Chapter Mapping'!$B$4:$B$100,"Test 2",'Question-Chapter Mapping'!$E$4:$E$100)*100,""))</f>
        <v/>
      </c>
      <c r="Q88" s="64" t="str">
        <f>IF($A88="","",IFERROR(K88/'Assessment Structure'!$D$11*100,""))</f>
        <v/>
      </c>
      <c r="R88" s="64" t="str">
        <f>IF($A88="","",IFERROR(L88/'Assessment Structure'!$D$12*100,""))</f>
        <v/>
      </c>
      <c r="S88" s="64" t="str">
        <f>IF($A88="","",IFERROR(M88/'Assessment Structure'!$D$13*100,""))</f>
        <v/>
      </c>
      <c r="T88" s="64" t="str">
        <f>IF($A88="","",IFERROR(N88/'Assessment Structure'!$D$14*100,""))</f>
        <v/>
      </c>
      <c r="U88" s="64" t="str">
        <f>IF($A88="","",O88/100*'Assessment Structure'!$C$9+P88/100*'Assessment Structure'!$C$10+Q88/100*'Assessment Structure'!$C$11+R88/100*'Assessment Structure'!$C$12+S88/100*'Assessment Structure'!$C$13+T88/100*'Assessment Structure'!$C$14)</f>
        <v/>
      </c>
      <c r="V88" s="64" t="str">
        <f>IF($A88="","",IFERROR(U88/'Assessment Structure'!$B$4*100,""))</f>
        <v/>
      </c>
    </row>
    <row r="89" spans="15:22">
      <c r="O89" s="64" t="str">
        <f>IF($A89="","",IFERROR(SUM(C89:F89)/SUMIF('Question-Chapter Mapping'!$B$4:$B$100,"Test 1",'Question-Chapter Mapping'!$E$4:$E$100)*100,""))</f>
        <v/>
      </c>
      <c r="P89" s="64" t="str">
        <f>IF($A89="","",IFERROR(SUM(G89:J89)/SUMIF('Question-Chapter Mapping'!$B$4:$B$100,"Test 2",'Question-Chapter Mapping'!$E$4:$E$100)*100,""))</f>
        <v/>
      </c>
      <c r="Q89" s="64" t="str">
        <f>IF($A89="","",IFERROR(K89/'Assessment Structure'!$D$11*100,""))</f>
        <v/>
      </c>
      <c r="R89" s="64" t="str">
        <f>IF($A89="","",IFERROR(L89/'Assessment Structure'!$D$12*100,""))</f>
        <v/>
      </c>
      <c r="S89" s="64" t="str">
        <f>IF($A89="","",IFERROR(M89/'Assessment Structure'!$D$13*100,""))</f>
        <v/>
      </c>
      <c r="T89" s="64" t="str">
        <f>IF($A89="","",IFERROR(N89/'Assessment Structure'!$D$14*100,""))</f>
        <v/>
      </c>
      <c r="U89" s="64" t="str">
        <f>IF($A89="","",O89/100*'Assessment Structure'!$C$9+P89/100*'Assessment Structure'!$C$10+Q89/100*'Assessment Structure'!$C$11+R89/100*'Assessment Structure'!$C$12+S89/100*'Assessment Structure'!$C$13+T89/100*'Assessment Structure'!$C$14)</f>
        <v/>
      </c>
      <c r="V89" s="64" t="str">
        <f>IF($A89="","",IFERROR(U89/'Assessment Structure'!$B$4*100,""))</f>
        <v/>
      </c>
    </row>
    <row r="90" spans="15:22">
      <c r="O90" s="64" t="str">
        <f>IF($A90="","",IFERROR(SUM(C90:F90)/SUMIF('Question-Chapter Mapping'!$B$4:$B$100,"Test 1",'Question-Chapter Mapping'!$E$4:$E$100)*100,""))</f>
        <v/>
      </c>
      <c r="P90" s="64" t="str">
        <f>IF($A90="","",IFERROR(SUM(G90:J90)/SUMIF('Question-Chapter Mapping'!$B$4:$B$100,"Test 2",'Question-Chapter Mapping'!$E$4:$E$100)*100,""))</f>
        <v/>
      </c>
      <c r="Q90" s="64" t="str">
        <f>IF($A90="","",IFERROR(K90/'Assessment Structure'!$D$11*100,""))</f>
        <v/>
      </c>
      <c r="R90" s="64" t="str">
        <f>IF($A90="","",IFERROR(L90/'Assessment Structure'!$D$12*100,""))</f>
        <v/>
      </c>
      <c r="S90" s="64" t="str">
        <f>IF($A90="","",IFERROR(M90/'Assessment Structure'!$D$13*100,""))</f>
        <v/>
      </c>
      <c r="T90" s="64" t="str">
        <f>IF($A90="","",IFERROR(N90/'Assessment Structure'!$D$14*100,""))</f>
        <v/>
      </c>
      <c r="U90" s="64" t="str">
        <f>IF($A90="","",O90/100*'Assessment Structure'!$C$9+P90/100*'Assessment Structure'!$C$10+Q90/100*'Assessment Structure'!$C$11+R90/100*'Assessment Structure'!$C$12+S90/100*'Assessment Structure'!$C$13+T90/100*'Assessment Structure'!$C$14)</f>
        <v/>
      </c>
      <c r="V90" s="64" t="str">
        <f>IF($A90="","",IFERROR(U90/'Assessment Structure'!$B$4*100,""))</f>
        <v/>
      </c>
    </row>
    <row r="91" spans="15:22">
      <c r="O91" s="64" t="str">
        <f>IF($A91="","",IFERROR(SUM(C91:F91)/SUMIF('Question-Chapter Mapping'!$B$4:$B$100,"Test 1",'Question-Chapter Mapping'!$E$4:$E$100)*100,""))</f>
        <v/>
      </c>
      <c r="P91" s="64" t="str">
        <f>IF($A91="","",IFERROR(SUM(G91:J91)/SUMIF('Question-Chapter Mapping'!$B$4:$B$100,"Test 2",'Question-Chapter Mapping'!$E$4:$E$100)*100,""))</f>
        <v/>
      </c>
      <c r="Q91" s="64" t="str">
        <f>IF($A91="","",IFERROR(K91/'Assessment Structure'!$D$11*100,""))</f>
        <v/>
      </c>
      <c r="R91" s="64" t="str">
        <f>IF($A91="","",IFERROR(L91/'Assessment Structure'!$D$12*100,""))</f>
        <v/>
      </c>
      <c r="S91" s="64" t="str">
        <f>IF($A91="","",IFERROR(M91/'Assessment Structure'!$D$13*100,""))</f>
        <v/>
      </c>
      <c r="T91" s="64" t="str">
        <f>IF($A91="","",IFERROR(N91/'Assessment Structure'!$D$14*100,""))</f>
        <v/>
      </c>
      <c r="U91" s="64" t="str">
        <f>IF($A91="","",O91/100*'Assessment Structure'!$C$9+P91/100*'Assessment Structure'!$C$10+Q91/100*'Assessment Structure'!$C$11+R91/100*'Assessment Structure'!$C$12+S91/100*'Assessment Structure'!$C$13+T91/100*'Assessment Structure'!$C$14)</f>
        <v/>
      </c>
      <c r="V91" s="64" t="str">
        <f>IF($A91="","",IFERROR(U91/'Assessment Structure'!$B$4*100,""))</f>
        <v/>
      </c>
    </row>
    <row r="92" spans="15:22">
      <c r="O92" s="64" t="str">
        <f>IF($A92="","",IFERROR(SUM(C92:F92)/SUMIF('Question-Chapter Mapping'!$B$4:$B$100,"Test 1",'Question-Chapter Mapping'!$E$4:$E$100)*100,""))</f>
        <v/>
      </c>
      <c r="P92" s="64" t="str">
        <f>IF($A92="","",IFERROR(SUM(G92:J92)/SUMIF('Question-Chapter Mapping'!$B$4:$B$100,"Test 2",'Question-Chapter Mapping'!$E$4:$E$100)*100,""))</f>
        <v/>
      </c>
      <c r="Q92" s="64" t="str">
        <f>IF($A92="","",IFERROR(K92/'Assessment Structure'!$D$11*100,""))</f>
        <v/>
      </c>
      <c r="R92" s="64" t="str">
        <f>IF($A92="","",IFERROR(L92/'Assessment Structure'!$D$12*100,""))</f>
        <v/>
      </c>
      <c r="S92" s="64" t="str">
        <f>IF($A92="","",IFERROR(M92/'Assessment Structure'!$D$13*100,""))</f>
        <v/>
      </c>
      <c r="T92" s="64" t="str">
        <f>IF($A92="","",IFERROR(N92/'Assessment Structure'!$D$14*100,""))</f>
        <v/>
      </c>
      <c r="U92" s="64" t="str">
        <f>IF($A92="","",O92/100*'Assessment Structure'!$C$9+P92/100*'Assessment Structure'!$C$10+Q92/100*'Assessment Structure'!$C$11+R92/100*'Assessment Structure'!$C$12+S92/100*'Assessment Structure'!$C$13+T92/100*'Assessment Structure'!$C$14)</f>
        <v/>
      </c>
      <c r="V92" s="64" t="str">
        <f>IF($A92="","",IFERROR(U92/'Assessment Structure'!$B$4*100,""))</f>
        <v/>
      </c>
    </row>
    <row r="93" spans="15:22">
      <c r="O93" s="64" t="str">
        <f>IF($A93="","",IFERROR(SUM(C93:F93)/SUMIF('Question-Chapter Mapping'!$B$4:$B$100,"Test 1",'Question-Chapter Mapping'!$E$4:$E$100)*100,""))</f>
        <v/>
      </c>
      <c r="P93" s="64" t="str">
        <f>IF($A93="","",IFERROR(SUM(G93:J93)/SUMIF('Question-Chapter Mapping'!$B$4:$B$100,"Test 2",'Question-Chapter Mapping'!$E$4:$E$100)*100,""))</f>
        <v/>
      </c>
      <c r="Q93" s="64" t="str">
        <f>IF($A93="","",IFERROR(K93/'Assessment Structure'!$D$11*100,""))</f>
        <v/>
      </c>
      <c r="R93" s="64" t="str">
        <f>IF($A93="","",IFERROR(L93/'Assessment Structure'!$D$12*100,""))</f>
        <v/>
      </c>
      <c r="S93" s="64" t="str">
        <f>IF($A93="","",IFERROR(M93/'Assessment Structure'!$D$13*100,""))</f>
        <v/>
      </c>
      <c r="T93" s="64" t="str">
        <f>IF($A93="","",IFERROR(N93/'Assessment Structure'!$D$14*100,""))</f>
        <v/>
      </c>
      <c r="U93" s="64" t="str">
        <f>IF($A93="","",O93/100*'Assessment Structure'!$C$9+P93/100*'Assessment Structure'!$C$10+Q93/100*'Assessment Structure'!$C$11+R93/100*'Assessment Structure'!$C$12+S93/100*'Assessment Structure'!$C$13+T93/100*'Assessment Structure'!$C$14)</f>
        <v/>
      </c>
      <c r="V93" s="64" t="str">
        <f>IF($A93="","",IFERROR(U93/'Assessment Structure'!$B$4*100,""))</f>
        <v/>
      </c>
    </row>
    <row r="94" spans="15:22">
      <c r="O94" s="64" t="str">
        <f>IF($A94="","",IFERROR(SUM(C94:F94)/SUMIF('Question-Chapter Mapping'!$B$4:$B$100,"Test 1",'Question-Chapter Mapping'!$E$4:$E$100)*100,""))</f>
        <v/>
      </c>
      <c r="P94" s="64" t="str">
        <f>IF($A94="","",IFERROR(SUM(G94:J94)/SUMIF('Question-Chapter Mapping'!$B$4:$B$100,"Test 2",'Question-Chapter Mapping'!$E$4:$E$100)*100,""))</f>
        <v/>
      </c>
      <c r="Q94" s="64" t="str">
        <f>IF($A94="","",IFERROR(K94/'Assessment Structure'!$D$11*100,""))</f>
        <v/>
      </c>
      <c r="R94" s="64" t="str">
        <f>IF($A94="","",IFERROR(L94/'Assessment Structure'!$D$12*100,""))</f>
        <v/>
      </c>
      <c r="S94" s="64" t="str">
        <f>IF($A94="","",IFERROR(M94/'Assessment Structure'!$D$13*100,""))</f>
        <v/>
      </c>
      <c r="T94" s="64" t="str">
        <f>IF($A94="","",IFERROR(N94/'Assessment Structure'!$D$14*100,""))</f>
        <v/>
      </c>
      <c r="U94" s="64" t="str">
        <f>IF($A94="","",O94/100*'Assessment Structure'!$C$9+P94/100*'Assessment Structure'!$C$10+Q94/100*'Assessment Structure'!$C$11+R94/100*'Assessment Structure'!$C$12+S94/100*'Assessment Structure'!$C$13+T94/100*'Assessment Structure'!$C$14)</f>
        <v/>
      </c>
      <c r="V94" s="64" t="str">
        <f>IF($A94="","",IFERROR(U94/'Assessment Structure'!$B$4*100,""))</f>
        <v/>
      </c>
    </row>
    <row r="95" spans="15:22">
      <c r="O95" s="64" t="str">
        <f>IF($A95="","",IFERROR(SUM(C95:F95)/SUMIF('Question-Chapter Mapping'!$B$4:$B$100,"Test 1",'Question-Chapter Mapping'!$E$4:$E$100)*100,""))</f>
        <v/>
      </c>
      <c r="P95" s="64" t="str">
        <f>IF($A95="","",IFERROR(SUM(G95:J95)/SUMIF('Question-Chapter Mapping'!$B$4:$B$100,"Test 2",'Question-Chapter Mapping'!$E$4:$E$100)*100,""))</f>
        <v/>
      </c>
      <c r="Q95" s="64" t="str">
        <f>IF($A95="","",IFERROR(K95/'Assessment Structure'!$D$11*100,""))</f>
        <v/>
      </c>
      <c r="R95" s="64" t="str">
        <f>IF($A95="","",IFERROR(L95/'Assessment Structure'!$D$12*100,""))</f>
        <v/>
      </c>
      <c r="S95" s="64" t="str">
        <f>IF($A95="","",IFERROR(M95/'Assessment Structure'!$D$13*100,""))</f>
        <v/>
      </c>
      <c r="T95" s="64" t="str">
        <f>IF($A95="","",IFERROR(N95/'Assessment Structure'!$D$14*100,""))</f>
        <v/>
      </c>
      <c r="U95" s="64" t="str">
        <f>IF($A95="","",O95/100*'Assessment Structure'!$C$9+P95/100*'Assessment Structure'!$C$10+Q95/100*'Assessment Structure'!$C$11+R95/100*'Assessment Structure'!$C$12+S95/100*'Assessment Structure'!$C$13+T95/100*'Assessment Structure'!$C$14)</f>
        <v/>
      </c>
      <c r="V95" s="64" t="str">
        <f>IF($A95="","",IFERROR(U95/'Assessment Structure'!$B$4*100,""))</f>
        <v/>
      </c>
    </row>
    <row r="96" spans="15:22">
      <c r="O96" s="64" t="str">
        <f>IF($A96="","",IFERROR(SUM(C96:F96)/SUMIF('Question-Chapter Mapping'!$B$4:$B$100,"Test 1",'Question-Chapter Mapping'!$E$4:$E$100)*100,""))</f>
        <v/>
      </c>
      <c r="P96" s="64" t="str">
        <f>IF($A96="","",IFERROR(SUM(G96:J96)/SUMIF('Question-Chapter Mapping'!$B$4:$B$100,"Test 2",'Question-Chapter Mapping'!$E$4:$E$100)*100,""))</f>
        <v/>
      </c>
      <c r="Q96" s="64" t="str">
        <f>IF($A96="","",IFERROR(K96/'Assessment Structure'!$D$11*100,""))</f>
        <v/>
      </c>
      <c r="R96" s="64" t="str">
        <f>IF($A96="","",IFERROR(L96/'Assessment Structure'!$D$12*100,""))</f>
        <v/>
      </c>
      <c r="S96" s="64" t="str">
        <f>IF($A96="","",IFERROR(M96/'Assessment Structure'!$D$13*100,""))</f>
        <v/>
      </c>
      <c r="T96" s="64" t="str">
        <f>IF($A96="","",IFERROR(N96/'Assessment Structure'!$D$14*100,""))</f>
        <v/>
      </c>
      <c r="U96" s="64" t="str">
        <f>IF($A96="","",O96/100*'Assessment Structure'!$C$9+P96/100*'Assessment Structure'!$C$10+Q96/100*'Assessment Structure'!$C$11+R96/100*'Assessment Structure'!$C$12+S96/100*'Assessment Structure'!$C$13+T96/100*'Assessment Structure'!$C$14)</f>
        <v/>
      </c>
      <c r="V96" s="64" t="str">
        <f>IF($A96="","",IFERROR(U96/'Assessment Structure'!$B$4*100,""))</f>
        <v/>
      </c>
    </row>
    <row r="97" spans="15:22">
      <c r="O97" s="64" t="str">
        <f>IF($A97="","",IFERROR(SUM(C97:F97)/SUMIF('Question-Chapter Mapping'!$B$4:$B$100,"Test 1",'Question-Chapter Mapping'!$E$4:$E$100)*100,""))</f>
        <v/>
      </c>
      <c r="P97" s="64" t="str">
        <f>IF($A97="","",IFERROR(SUM(G97:J97)/SUMIF('Question-Chapter Mapping'!$B$4:$B$100,"Test 2",'Question-Chapter Mapping'!$E$4:$E$100)*100,""))</f>
        <v/>
      </c>
      <c r="Q97" s="64" t="str">
        <f>IF($A97="","",IFERROR(K97/'Assessment Structure'!$D$11*100,""))</f>
        <v/>
      </c>
      <c r="R97" s="64" t="str">
        <f>IF($A97="","",IFERROR(L97/'Assessment Structure'!$D$12*100,""))</f>
        <v/>
      </c>
      <c r="S97" s="64" t="str">
        <f>IF($A97="","",IFERROR(M97/'Assessment Structure'!$D$13*100,""))</f>
        <v/>
      </c>
      <c r="T97" s="64" t="str">
        <f>IF($A97="","",IFERROR(N97/'Assessment Structure'!$D$14*100,""))</f>
        <v/>
      </c>
      <c r="U97" s="64" t="str">
        <f>IF($A97="","",O97/100*'Assessment Structure'!$C$9+P97/100*'Assessment Structure'!$C$10+Q97/100*'Assessment Structure'!$C$11+R97/100*'Assessment Structure'!$C$12+S97/100*'Assessment Structure'!$C$13+T97/100*'Assessment Structure'!$C$14)</f>
        <v/>
      </c>
      <c r="V97" s="64" t="str">
        <f>IF($A97="","",IFERROR(U97/'Assessment Structure'!$B$4*100,""))</f>
        <v/>
      </c>
    </row>
    <row r="98" spans="15:22">
      <c r="O98" s="64" t="str">
        <f>IF($A98="","",IFERROR(SUM(C98:F98)/SUMIF('Question-Chapter Mapping'!$B$4:$B$100,"Test 1",'Question-Chapter Mapping'!$E$4:$E$100)*100,""))</f>
        <v/>
      </c>
      <c r="P98" s="64" t="str">
        <f>IF($A98="","",IFERROR(SUM(G98:J98)/SUMIF('Question-Chapter Mapping'!$B$4:$B$100,"Test 2",'Question-Chapter Mapping'!$E$4:$E$100)*100,""))</f>
        <v/>
      </c>
      <c r="Q98" s="64" t="str">
        <f>IF($A98="","",IFERROR(K98/'Assessment Structure'!$D$11*100,""))</f>
        <v/>
      </c>
      <c r="R98" s="64" t="str">
        <f>IF($A98="","",IFERROR(L98/'Assessment Structure'!$D$12*100,""))</f>
        <v/>
      </c>
      <c r="S98" s="64" t="str">
        <f>IF($A98="","",IFERROR(M98/'Assessment Structure'!$D$13*100,""))</f>
        <v/>
      </c>
      <c r="T98" s="64" t="str">
        <f>IF($A98="","",IFERROR(N98/'Assessment Structure'!$D$14*100,""))</f>
        <v/>
      </c>
      <c r="U98" s="64" t="str">
        <f>IF($A98="","",O98/100*'Assessment Structure'!$C$9+P98/100*'Assessment Structure'!$C$10+Q98/100*'Assessment Structure'!$C$11+R98/100*'Assessment Structure'!$C$12+S98/100*'Assessment Structure'!$C$13+T98/100*'Assessment Structure'!$C$14)</f>
        <v/>
      </c>
      <c r="V98" s="64" t="str">
        <f>IF($A98="","",IFERROR(U98/'Assessment Structure'!$B$4*100,""))</f>
        <v/>
      </c>
    </row>
    <row r="99" spans="15:22">
      <c r="O99" s="64" t="str">
        <f>IF($A99="","",IFERROR(SUM(C99:F99)/SUMIF('Question-Chapter Mapping'!$B$4:$B$100,"Test 1",'Question-Chapter Mapping'!$E$4:$E$100)*100,""))</f>
        <v/>
      </c>
      <c r="P99" s="64" t="str">
        <f>IF($A99="","",IFERROR(SUM(G99:J99)/SUMIF('Question-Chapter Mapping'!$B$4:$B$100,"Test 2",'Question-Chapter Mapping'!$E$4:$E$100)*100,""))</f>
        <v/>
      </c>
      <c r="Q99" s="64" t="str">
        <f>IF($A99="","",IFERROR(K99/'Assessment Structure'!$D$11*100,""))</f>
        <v/>
      </c>
      <c r="R99" s="64" t="str">
        <f>IF($A99="","",IFERROR(L99/'Assessment Structure'!$D$12*100,""))</f>
        <v/>
      </c>
      <c r="S99" s="64" t="str">
        <f>IF($A99="","",IFERROR(M99/'Assessment Structure'!$D$13*100,""))</f>
        <v/>
      </c>
      <c r="T99" s="64" t="str">
        <f>IF($A99="","",IFERROR(N99/'Assessment Structure'!$D$14*100,""))</f>
        <v/>
      </c>
      <c r="U99" s="64" t="str">
        <f>IF($A99="","",O99/100*'Assessment Structure'!$C$9+P99/100*'Assessment Structure'!$C$10+Q99/100*'Assessment Structure'!$C$11+R99/100*'Assessment Structure'!$C$12+S99/100*'Assessment Structure'!$C$13+T99/100*'Assessment Structure'!$C$14)</f>
        <v/>
      </c>
      <c r="V99" s="64" t="str">
        <f>IF($A99="","",IFERROR(U99/'Assessment Structure'!$B$4*100,""))</f>
        <v/>
      </c>
    </row>
    <row r="100" spans="15:22">
      <c r="O100" s="64" t="str">
        <f>IF($A100="","",IFERROR(SUM(C100:F100)/SUMIF('Question-Chapter Mapping'!$B$4:$B$100,"Test 1",'Question-Chapter Mapping'!$E$4:$E$100)*100,""))</f>
        <v/>
      </c>
      <c r="P100" s="64" t="str">
        <f>IF($A100="","",IFERROR(SUM(G100:J100)/SUMIF('Question-Chapter Mapping'!$B$4:$B$100,"Test 2",'Question-Chapter Mapping'!$E$4:$E$100)*100,""))</f>
        <v/>
      </c>
      <c r="Q100" s="64" t="str">
        <f>IF($A100="","",IFERROR(K100/'Assessment Structure'!$D$11*100,""))</f>
        <v/>
      </c>
      <c r="R100" s="64" t="str">
        <f>IF($A100="","",IFERROR(L100/'Assessment Structure'!$D$12*100,""))</f>
        <v/>
      </c>
      <c r="S100" s="64" t="str">
        <f>IF($A100="","",IFERROR(M100/'Assessment Structure'!$D$13*100,""))</f>
        <v/>
      </c>
      <c r="T100" s="64" t="str">
        <f>IF($A100="","",IFERROR(N100/'Assessment Structure'!$D$14*100,""))</f>
        <v/>
      </c>
      <c r="U100" s="64" t="str">
        <f>IF($A100="","",O100/100*'Assessment Structure'!$C$9+P100/100*'Assessment Structure'!$C$10+Q100/100*'Assessment Structure'!$C$11+R100/100*'Assessment Structure'!$C$12+S100/100*'Assessment Structure'!$C$13+T100/100*'Assessment Structure'!$C$14)</f>
        <v/>
      </c>
      <c r="V100" s="64" t="str">
        <f>IF($A100="","",IFERROR(U100/'Assessment Structure'!$B$4*100,""))</f>
        <v/>
      </c>
    </row>
    <row r="101" spans="15:22">
      <c r="O101" s="64" t="str">
        <f>IF($A101="","",IFERROR(SUM(C101:F101)/SUMIF('Question-Chapter Mapping'!$B$4:$B$100,"Test 1",'Question-Chapter Mapping'!$E$4:$E$100)*100,""))</f>
        <v/>
      </c>
      <c r="P101" s="64" t="str">
        <f>IF($A101="","",IFERROR(SUM(G101:J101)/SUMIF('Question-Chapter Mapping'!$B$4:$B$100,"Test 2",'Question-Chapter Mapping'!$E$4:$E$100)*100,""))</f>
        <v/>
      </c>
      <c r="Q101" s="64" t="str">
        <f>IF($A101="","",IFERROR(K101/'Assessment Structure'!$D$11*100,""))</f>
        <v/>
      </c>
      <c r="R101" s="64" t="str">
        <f>IF($A101="","",IFERROR(L101/'Assessment Structure'!$D$12*100,""))</f>
        <v/>
      </c>
      <c r="S101" s="64" t="str">
        <f>IF($A101="","",IFERROR(M101/'Assessment Structure'!$D$13*100,""))</f>
        <v/>
      </c>
      <c r="T101" s="64" t="str">
        <f>IF($A101="","",IFERROR(N101/'Assessment Structure'!$D$14*100,""))</f>
        <v/>
      </c>
      <c r="U101" s="64" t="str">
        <f>IF($A101="","",O101/100*'Assessment Structure'!$C$9+P101/100*'Assessment Structure'!$C$10+Q101/100*'Assessment Structure'!$C$11+R101/100*'Assessment Structure'!$C$12+S101/100*'Assessment Structure'!$C$13+T101/100*'Assessment Structure'!$C$14)</f>
        <v/>
      </c>
      <c r="V101" s="64" t="str">
        <f>IF($A101="","",IFERROR(U101/'Assessment Structure'!$B$4*100,""))</f>
        <v/>
      </c>
    </row>
    <row r="102" spans="15:22">
      <c r="O102" s="64" t="str">
        <f>IF($A102="","",IFERROR(SUM(C102:F102)/SUMIF('Question-Chapter Mapping'!$B$4:$B$100,"Test 1",'Question-Chapter Mapping'!$E$4:$E$100)*100,""))</f>
        <v/>
      </c>
      <c r="P102" s="64" t="str">
        <f>IF($A102="","",IFERROR(SUM(G102:J102)/SUMIF('Question-Chapter Mapping'!$B$4:$B$100,"Test 2",'Question-Chapter Mapping'!$E$4:$E$100)*100,""))</f>
        <v/>
      </c>
      <c r="Q102" s="64" t="str">
        <f>IF($A102="","",IFERROR(K102/'Assessment Structure'!$D$11*100,""))</f>
        <v/>
      </c>
      <c r="R102" s="64" t="str">
        <f>IF($A102="","",IFERROR(L102/'Assessment Structure'!$D$12*100,""))</f>
        <v/>
      </c>
      <c r="S102" s="64" t="str">
        <f>IF($A102="","",IFERROR(M102/'Assessment Structure'!$D$13*100,""))</f>
        <v/>
      </c>
      <c r="T102" s="64" t="str">
        <f>IF($A102="","",IFERROR(N102/'Assessment Structure'!$D$14*100,""))</f>
        <v/>
      </c>
      <c r="U102" s="64" t="str">
        <f>IF($A102="","",O102/100*'Assessment Structure'!$C$9+P102/100*'Assessment Structure'!$C$10+Q102/100*'Assessment Structure'!$C$11+R102/100*'Assessment Structure'!$C$12+S102/100*'Assessment Structure'!$C$13+T102/100*'Assessment Structure'!$C$14)</f>
        <v/>
      </c>
      <c r="V102" s="64" t="str">
        <f>IF($A102="","",IFERROR(U102/'Assessment Structure'!$B$4*100,""))</f>
        <v/>
      </c>
    </row>
    <row r="103" spans="15:22">
      <c r="O103" s="64" t="str">
        <f>IF($A103="","",IFERROR(SUM(C103:F103)/SUMIF('Question-Chapter Mapping'!$B$4:$B$100,"Test 1",'Question-Chapter Mapping'!$E$4:$E$100)*100,""))</f>
        <v/>
      </c>
      <c r="P103" s="64" t="str">
        <f>IF($A103="","",IFERROR(SUM(G103:J103)/SUMIF('Question-Chapter Mapping'!$B$4:$B$100,"Test 2",'Question-Chapter Mapping'!$E$4:$E$100)*100,""))</f>
        <v/>
      </c>
      <c r="Q103" s="64" t="str">
        <f>IF($A103="","",IFERROR(K103/'Assessment Structure'!$D$11*100,""))</f>
        <v/>
      </c>
      <c r="R103" s="64" t="str">
        <f>IF($A103="","",IFERROR(L103/'Assessment Structure'!$D$12*100,""))</f>
        <v/>
      </c>
      <c r="S103" s="64" t="str">
        <f>IF($A103="","",IFERROR(M103/'Assessment Structure'!$D$13*100,""))</f>
        <v/>
      </c>
      <c r="T103" s="64" t="str">
        <f>IF($A103="","",IFERROR(N103/'Assessment Structure'!$D$14*100,""))</f>
        <v/>
      </c>
      <c r="U103" s="64" t="str">
        <f>IF($A103="","",O103/100*'Assessment Structure'!$C$9+P103/100*'Assessment Structure'!$C$10+Q103/100*'Assessment Structure'!$C$11+R103/100*'Assessment Structure'!$C$12+S103/100*'Assessment Structure'!$C$13+T103/100*'Assessment Structure'!$C$14)</f>
        <v/>
      </c>
      <c r="V103" s="64" t="str">
        <f>IF($A103="","",IFERROR(U103/'Assessment Structure'!$B$4*100,""))</f>
        <v/>
      </c>
    </row>
    <row r="104" spans="15:22">
      <c r="O104" s="64" t="str">
        <f>IF($A104="","",IFERROR(SUM(C104:F104)/SUMIF('Question-Chapter Mapping'!$B$4:$B$100,"Test 1",'Question-Chapter Mapping'!$E$4:$E$100)*100,""))</f>
        <v/>
      </c>
      <c r="P104" s="64" t="str">
        <f>IF($A104="","",IFERROR(SUM(G104:J104)/SUMIF('Question-Chapter Mapping'!$B$4:$B$100,"Test 2",'Question-Chapter Mapping'!$E$4:$E$100)*100,""))</f>
        <v/>
      </c>
      <c r="Q104" s="64" t="str">
        <f>IF($A104="","",IFERROR(K104/'Assessment Structure'!$D$11*100,""))</f>
        <v/>
      </c>
      <c r="R104" s="64" t="str">
        <f>IF($A104="","",IFERROR(L104/'Assessment Structure'!$D$12*100,""))</f>
        <v/>
      </c>
      <c r="S104" s="64" t="str">
        <f>IF($A104="","",IFERROR(M104/'Assessment Structure'!$D$13*100,""))</f>
        <v/>
      </c>
      <c r="T104" s="64" t="str">
        <f>IF($A104="","",IFERROR(N104/'Assessment Structure'!$D$14*100,""))</f>
        <v/>
      </c>
      <c r="U104" s="64" t="str">
        <f>IF($A104="","",O104/100*'Assessment Structure'!$C$9+P104/100*'Assessment Structure'!$C$10+Q104/100*'Assessment Structure'!$C$11+R104/100*'Assessment Structure'!$C$12+S104/100*'Assessment Structure'!$C$13+T104/100*'Assessment Structure'!$C$14)</f>
        <v/>
      </c>
      <c r="V104" s="64" t="str">
        <f>IF($A104="","",IFERROR(U104/'Assessment Structure'!$B$4*100,""))</f>
        <v/>
      </c>
    </row>
  </sheetData>
  <mergeCells count="3">
    <mergeCell ref="A1:V1"/>
    <mergeCell ref="A2:N2"/>
    <mergeCell ref="O2:V2"/>
  </mergeCells>
  <conditionalFormatting sqref="V5:V29">
    <cfRule type="expression" dxfId="3" priority="1">
      <formula>V5&gt;=70</formula>
    </cfRule>
    <cfRule type="expression" dxfId="2" priority="2">
      <formula>V5&lt;50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
  <sheetViews>
    <sheetView workbookViewId="0"/>
  </sheetViews>
  <sheetFormatPr defaultRowHeight="13.8"/>
  <cols>
    <col min="1" max="1" width="18" customWidth="1"/>
    <col min="2" max="2" width="15" customWidth="1"/>
    <col min="3" max="3" width="12" customWidth="1"/>
    <col min="4" max="4" width="16" customWidth="1"/>
    <col min="5" max="5" width="12" customWidth="1"/>
    <col min="6" max="6" width="16" customWidth="1"/>
  </cols>
  <sheetData>
    <row r="1" spans="1:6" ht="15.3" customHeight="1">
      <c r="A1" s="75" t="s">
        <v>70</v>
      </c>
      <c r="B1" s="75"/>
      <c r="C1" s="75"/>
      <c r="D1" s="75"/>
      <c r="E1" s="75"/>
      <c r="F1" s="76"/>
    </row>
    <row r="3" spans="1:6" ht="13.95" customHeight="1">
      <c r="A3" s="1" t="s">
        <v>26</v>
      </c>
      <c r="B3" s="7" t="s">
        <v>11</v>
      </c>
      <c r="C3" s="7" t="s">
        <v>27</v>
      </c>
      <c r="D3" s="7" t="s">
        <v>28</v>
      </c>
      <c r="E3" s="2" t="s">
        <v>14</v>
      </c>
      <c r="F3" s="22" t="s">
        <v>29</v>
      </c>
    </row>
    <row r="4" spans="1:6">
      <c r="A4" s="41" t="s">
        <v>30</v>
      </c>
      <c r="B4" s="42" t="s">
        <v>16</v>
      </c>
      <c r="C4" s="42" t="s">
        <v>31</v>
      </c>
      <c r="D4" s="42" t="s">
        <v>32</v>
      </c>
      <c r="E4" s="43">
        <v>10</v>
      </c>
      <c r="F4" s="35" t="str">
        <f>IF(OR(A4="",B4="",E4=""),"",IF(COUNTIF('Student Marks'!$C$4:$V$4,A4)&gt;0,"OK","MISSING"))</f>
        <v>OK</v>
      </c>
    </row>
    <row r="5" spans="1:6">
      <c r="A5" s="44" t="s">
        <v>33</v>
      </c>
      <c r="B5" s="21" t="s">
        <v>16</v>
      </c>
      <c r="C5" s="21" t="s">
        <v>34</v>
      </c>
      <c r="D5" s="21" t="s">
        <v>35</v>
      </c>
      <c r="E5" s="45">
        <v>10</v>
      </c>
      <c r="F5" s="35" t="str">
        <f>IF(OR(A5="",B5="",E5=""),"",IF(COUNTIF('Student Marks'!$C$4:$V$4,A5)&gt;0,"OK","MISSING"))</f>
        <v>OK</v>
      </c>
    </row>
    <row r="6" spans="1:6">
      <c r="A6" s="44" t="s">
        <v>36</v>
      </c>
      <c r="B6" s="21" t="s">
        <v>16</v>
      </c>
      <c r="C6" s="21" t="s">
        <v>37</v>
      </c>
      <c r="D6" s="21" t="s">
        <v>38</v>
      </c>
      <c r="E6" s="45">
        <v>15</v>
      </c>
      <c r="F6" s="37" t="str">
        <f>IF(OR(A6="",B6="",E6=""),"",IF(COUNTIF('Student Marks'!$C$4:$V$4,A6)&gt;0,"OK","MISSING"))</f>
        <v>OK</v>
      </c>
    </row>
    <row r="7" spans="1:6">
      <c r="A7" s="44" t="s">
        <v>39</v>
      </c>
      <c r="B7" s="21" t="s">
        <v>16</v>
      </c>
      <c r="C7" s="21" t="s">
        <v>40</v>
      </c>
      <c r="D7" s="21" t="s">
        <v>32</v>
      </c>
      <c r="E7" s="45">
        <v>15</v>
      </c>
      <c r="F7" s="36" t="str">
        <f>IF(OR(A7="",B7="",E7=""),"",IF(COUNTIF('Student Marks'!$C$4:$V$4,A7)&gt;0,"OK","MISSING"))</f>
        <v>OK</v>
      </c>
    </row>
    <row r="8" spans="1:6">
      <c r="A8" s="44" t="s">
        <v>41</v>
      </c>
      <c r="B8" s="21" t="s">
        <v>19</v>
      </c>
      <c r="C8" s="21" t="s">
        <v>31</v>
      </c>
      <c r="D8" s="21" t="s">
        <v>35</v>
      </c>
      <c r="E8" s="45">
        <v>10</v>
      </c>
      <c r="F8" s="38" t="str">
        <f>IF(OR(A8="",B8="",E8=""),"",IF(COUNTIF('Student Marks'!$C$4:$V$4,A8)&gt;0,"OK","MISSING"))</f>
        <v>OK</v>
      </c>
    </row>
    <row r="9" spans="1:6">
      <c r="A9" s="44" t="s">
        <v>42</v>
      </c>
      <c r="B9" s="21" t="s">
        <v>19</v>
      </c>
      <c r="C9" s="21" t="s">
        <v>34</v>
      </c>
      <c r="D9" s="21" t="s">
        <v>38</v>
      </c>
      <c r="E9" s="45">
        <v>10</v>
      </c>
      <c r="F9" s="35" t="str">
        <f>IF(OR(A9="",B9="",E9=""),"",IF(COUNTIF('Student Marks'!$C$4:$V$4,A9)&gt;0,"OK","MISSING"))</f>
        <v>OK</v>
      </c>
    </row>
    <row r="10" spans="1:6">
      <c r="A10" s="44" t="s">
        <v>43</v>
      </c>
      <c r="B10" s="21" t="s">
        <v>19</v>
      </c>
      <c r="C10" s="21" t="s">
        <v>37</v>
      </c>
      <c r="D10" s="21" t="s">
        <v>44</v>
      </c>
      <c r="E10" s="45">
        <v>15</v>
      </c>
      <c r="F10" s="37" t="str">
        <f>IF(OR(A10="",B10="",E10=""),"",IF(COUNTIF('Student Marks'!$C$4:$V$4,A10)&gt;0,"OK","MISSING"))</f>
        <v>OK</v>
      </c>
    </row>
    <row r="11" spans="1:6">
      <c r="A11" s="46" t="s">
        <v>45</v>
      </c>
      <c r="B11" s="47" t="s">
        <v>19</v>
      </c>
      <c r="C11" s="47" t="s">
        <v>40</v>
      </c>
      <c r="D11" s="47" t="s">
        <v>46</v>
      </c>
      <c r="E11" s="48">
        <v>15</v>
      </c>
      <c r="F11" s="36" t="str">
        <f>IF(OR(A11="",B11="",E11=""),"",IF(COUNTIF('Student Marks'!$C$4:$V$4,A11)&gt;0,"OK","MISSING"))</f>
        <v>OK</v>
      </c>
    </row>
    <row r="12" spans="1:6">
      <c r="F12" t="str">
        <f>IF(OR(A12="",B12="",E12=""),"",IF(COUNTIF('Student Marks'!$C$4:$V$4,A12)&gt;0,"OK","MISSING"))</f>
        <v/>
      </c>
    </row>
    <row r="13" spans="1:6" ht="13.95" customHeight="1">
      <c r="A13" s="74" t="s">
        <v>71</v>
      </c>
      <c r="B13" s="74"/>
      <c r="C13" s="74"/>
      <c r="D13" s="74"/>
      <c r="E13" s="74"/>
      <c r="F13" s="10" t="str">
        <f>IF(OR(A13="",B13="",E13=""),"",IF(COUNTIF('Student Marks'!$C$4:$V$4,A13)&gt;0,"OK","MISSING"))</f>
        <v/>
      </c>
    </row>
    <row r="14" spans="1:6" ht="13.95" customHeight="1">
      <c r="A14" s="74"/>
      <c r="B14" s="74"/>
      <c r="C14" s="74"/>
      <c r="D14" s="74"/>
      <c r="E14" s="74"/>
      <c r="F14" s="10" t="str">
        <f>IF(OR(A14="",B14="",E14=""),"",IF(COUNTIF('Student Marks'!$C$4:$V$4,A14)&gt;0,"OK","MISSING"))</f>
        <v/>
      </c>
    </row>
    <row r="15" spans="1:6" ht="13.95" customHeight="1">
      <c r="A15" s="74"/>
      <c r="B15" s="74"/>
      <c r="C15" s="74"/>
      <c r="D15" s="74"/>
      <c r="E15" s="74"/>
      <c r="F15" s="10" t="str">
        <f>IF(OR(A15="",B15="",E15=""),"",IF(COUNTIF('Student Marks'!$C$4:$V$4,A15)&gt;0,"OK","MISSING"))</f>
        <v/>
      </c>
    </row>
    <row r="16" spans="1:6">
      <c r="F16" t="str">
        <f>IF(OR(A16="",B16="",E16=""),"",IF(COUNTIF('Student Marks'!$C$4:$V$4,A16)&gt;0,"OK","MISSING"))</f>
        <v/>
      </c>
    </row>
    <row r="17" spans="5:12">
      <c r="F17" t="str">
        <f>IF(OR(A17="",B17="",E17=""),"",IF(COUNTIF('Student Marks'!$C$4:$V$4,A17)&gt;0,"OK","MISSING"))</f>
        <v/>
      </c>
    </row>
    <row r="18" spans="5:12">
      <c r="F18" t="str">
        <f>IF(OR(A18="",B18="",E18=""),"",IF(COUNTIF('Student Marks'!$C$4:$V$4,A18)&gt;0,"OK","MISSING"))</f>
        <v/>
      </c>
    </row>
    <row r="19" spans="5:12">
      <c r="E19" s="34"/>
      <c r="F19" t="str">
        <f>IF(OR(A19="",B19="",E19=""),"",IF(COUNTIF('Student Marks'!$C$4:$V$4,A19)&gt;0,"OK","MISSING"))</f>
        <v/>
      </c>
    </row>
    <row r="20" spans="5:12">
      <c r="F20" t="str">
        <f>IF(OR(A20="",B20="",E20=""),"",IF(COUNTIF('Student Marks'!$C$4:$V$4,A20)&gt;0,"OK","MISSING"))</f>
        <v/>
      </c>
      <c r="G20" s="39"/>
      <c r="H20" s="39"/>
      <c r="I20" s="39"/>
      <c r="J20" s="39"/>
      <c r="K20" s="39"/>
      <c r="L20" s="39"/>
    </row>
    <row r="21" spans="5:12">
      <c r="F21" t="str">
        <f>IF(OR(A21="",B21="",E21=""),"",IF(COUNTIF('Student Marks'!$C$4:$V$4,A21)&gt;0,"OK","MISSING"))</f>
        <v/>
      </c>
    </row>
    <row r="22" spans="5:12">
      <c r="F22" t="str">
        <f>IF(OR(A22="",B22="",E22=""),"",IF(COUNTIF('Student Marks'!$C$4:$V$4,A22)&gt;0,"OK","MISSING"))</f>
        <v/>
      </c>
      <c r="G22" s="39"/>
    </row>
    <row r="23" spans="5:12">
      <c r="F23" t="str">
        <f>IF(OR(A23="",B23="",E23=""),"",IF(COUNTIF('Student Marks'!$C$4:$V$4,A23)&gt;0,"OK","MISSING"))</f>
        <v/>
      </c>
    </row>
    <row r="24" spans="5:12">
      <c r="F24" t="str">
        <f>IF(OR(A24="",B24="",E24=""),"",IF(COUNTIF('Student Marks'!$C$4:$V$4,A24)&gt;0,"OK","MISSING"))</f>
        <v/>
      </c>
    </row>
    <row r="25" spans="5:12">
      <c r="F25" t="str">
        <f>IF(OR(A25="",B25="",E25=""),"",IF(COUNTIF('Student Marks'!$C$4:$V$4,A25)&gt;0,"OK","MISSING"))</f>
        <v/>
      </c>
    </row>
    <row r="26" spans="5:12">
      <c r="F26" t="str">
        <f>IF(OR(A26="",B26="",E26=""),"",IF(COUNTIF('Student Marks'!$C$4:$V$4,A26)&gt;0,"OK","MISSING"))</f>
        <v/>
      </c>
    </row>
    <row r="27" spans="5:12">
      <c r="F27" t="str">
        <f>IF(OR(A27="",B27="",E27=""),"",IF(COUNTIF('Student Marks'!$C$4:$V$4,A27)&gt;0,"OK","MISSING"))</f>
        <v/>
      </c>
    </row>
    <row r="28" spans="5:12">
      <c r="F28" t="str">
        <f>IF(OR(A28="",B28="",E28=""),"",IF(COUNTIF('Student Marks'!$C$4:$V$4,A28)&gt;0,"OK","MISSING"))</f>
        <v/>
      </c>
    </row>
    <row r="29" spans="5:12">
      <c r="F29" s="40" t="str">
        <f>IF(OR(A29="",B29="",E29=""),"",IF(COUNTIF('Student Marks'!$C$4:$V$4,A29)&gt;0,"OK","MISSING"))</f>
        <v/>
      </c>
    </row>
    <row r="30" spans="5:12">
      <c r="F30" t="str">
        <f>IF(OR(A30="",B30="",E30=""),"",IF(COUNTIF('Student Marks'!$C$4:$V$4,A30)&gt;0,"OK","MISSING"))</f>
        <v/>
      </c>
    </row>
    <row r="31" spans="5:12">
      <c r="F31" t="str">
        <f>IF(OR(A31="",B31="",E31=""),"",IF(COUNTIF('Student Marks'!$C$4:$V$4,A31)&gt;0,"OK","MISSING"))</f>
        <v/>
      </c>
    </row>
    <row r="32" spans="5:12">
      <c r="F32" t="str">
        <f>IF(OR(A32="",B32="",E32=""),"",IF(COUNTIF('Student Marks'!$C$4:$V$4,A32)&gt;0,"OK","MISSING"))</f>
        <v/>
      </c>
    </row>
    <row r="33" spans="6:6">
      <c r="F33" t="str">
        <f>IF(OR(A33="",B33="",E33=""),"",IF(COUNTIF('Student Marks'!$C$4:$V$4,A33)&gt;0,"OK","MISSING"))</f>
        <v/>
      </c>
    </row>
    <row r="34" spans="6:6">
      <c r="F34" t="str">
        <f>IF(OR(A34="",B34="",E34=""),"",IF(COUNTIF('Student Marks'!$C$4:$V$4,A34)&gt;0,"OK","MISSING"))</f>
        <v/>
      </c>
    </row>
    <row r="35" spans="6:6">
      <c r="F35" t="str">
        <f>IF(OR(A35="",B35="",E35=""),"",IF(COUNTIF('Student Marks'!$C$4:$V$4,A35)&gt;0,"OK","MISSING"))</f>
        <v/>
      </c>
    </row>
    <row r="36" spans="6:6">
      <c r="F36" t="str">
        <f>IF(OR(A36="",B36="",E36=""),"",IF(COUNTIF('Student Marks'!$C$4:$V$4,A36)&gt;0,"OK","MISSING"))</f>
        <v/>
      </c>
    </row>
    <row r="37" spans="6:6">
      <c r="F37" t="str">
        <f>IF(OR(A37="",B37="",E37=""),"",IF(COUNTIF('Student Marks'!$C$4:$V$4,A37)&gt;0,"OK","MISSING"))</f>
        <v/>
      </c>
    </row>
    <row r="38" spans="6:6">
      <c r="F38" t="str">
        <f>IF(OR(A38="",B38="",E38=""),"",IF(COUNTIF('Student Marks'!$C$4:$V$4,A38)&gt;0,"OK","MISSING"))</f>
        <v/>
      </c>
    </row>
    <row r="39" spans="6:6">
      <c r="F39" t="str">
        <f>IF(OR(A39="",B39="",E39=""),"",IF(COUNTIF('Student Marks'!$C$4:$V$4,A39)&gt;0,"OK","MISSING"))</f>
        <v/>
      </c>
    </row>
    <row r="40" spans="6:6">
      <c r="F40" t="str">
        <f>IF(OR(A40="",B40="",E40=""),"",IF(COUNTIF('Student Marks'!$C$4:$V$4,A40)&gt;0,"OK","MISSING"))</f>
        <v/>
      </c>
    </row>
    <row r="41" spans="6:6">
      <c r="F41" t="str">
        <f>IF(OR(A41="",B41="",E41=""),"",IF(COUNTIF('Student Marks'!$C$4:$V$4,A41)&gt;0,"OK","MISSING"))</f>
        <v/>
      </c>
    </row>
    <row r="42" spans="6:6">
      <c r="F42" t="str">
        <f>IF(OR(A42="",B42="",E42=""),"",IF(COUNTIF('Student Marks'!$C$4:$V$4,A42)&gt;0,"OK","MISSING"))</f>
        <v/>
      </c>
    </row>
    <row r="43" spans="6:6">
      <c r="F43" t="str">
        <f>IF(OR(A43="",B43="",E43=""),"",IF(COUNTIF('Student Marks'!$C$4:$V$4,A43)&gt;0,"OK","MISSING"))</f>
        <v/>
      </c>
    </row>
    <row r="44" spans="6:6">
      <c r="F44" t="str">
        <f>IF(OR(A44="",B44="",E44=""),"",IF(COUNTIF('Student Marks'!$C$4:$V$4,A44)&gt;0,"OK","MISSING"))</f>
        <v/>
      </c>
    </row>
    <row r="45" spans="6:6">
      <c r="F45" t="str">
        <f>IF(OR(A45="",B45="",E45=""),"",IF(COUNTIF('Student Marks'!$C$4:$V$4,A45)&gt;0,"OK","MISSING"))</f>
        <v/>
      </c>
    </row>
    <row r="46" spans="6:6">
      <c r="F46" t="str">
        <f>IF(OR(A46="",B46="",E46=""),"",IF(COUNTIF('Student Marks'!$C$4:$V$4,A46)&gt;0,"OK","MISSING"))</f>
        <v/>
      </c>
    </row>
    <row r="47" spans="6:6">
      <c r="F47" t="str">
        <f>IF(OR(A47="",B47="",E47=""),"",IF(COUNTIF('Student Marks'!$C$4:$V$4,A47)&gt;0,"OK","MISSING"))</f>
        <v/>
      </c>
    </row>
    <row r="48" spans="6:6">
      <c r="F48" t="str">
        <f>IF(OR(A48="",B48="",E48=""),"",IF(COUNTIF('Student Marks'!$C$4:$V$4,A48)&gt;0,"OK","MISSING"))</f>
        <v/>
      </c>
    </row>
    <row r="49" spans="6:6">
      <c r="F49" t="str">
        <f>IF(OR(A49="",B49="",E49=""),"",IF(COUNTIF('Student Marks'!$C$4:$V$4,A49)&gt;0,"OK","MISSING"))</f>
        <v/>
      </c>
    </row>
    <row r="50" spans="6:6">
      <c r="F50" t="str">
        <f>IF(OR(A50="",B50="",E50=""),"",IF(COUNTIF('Student Marks'!$C$4:$V$4,A50)&gt;0,"OK","MISSING"))</f>
        <v/>
      </c>
    </row>
    <row r="51" spans="6:6">
      <c r="F51" t="str">
        <f>IF(OR(A51="",B51="",E51=""),"",IF(COUNTIF('Student Marks'!$C$4:$V$4,A51)&gt;0,"OK","MISSING"))</f>
        <v/>
      </c>
    </row>
    <row r="52" spans="6:6">
      <c r="F52" t="str">
        <f>IF(OR(A52="",B52="",E52=""),"",IF(COUNTIF('Student Marks'!$C$4:$V$4,A52)&gt;0,"OK","MISSING"))</f>
        <v/>
      </c>
    </row>
    <row r="53" spans="6:6">
      <c r="F53" t="str">
        <f>IF(OR(A53="",B53="",E53=""),"",IF(COUNTIF('Student Marks'!$C$4:$V$4,A53)&gt;0,"OK","MISSING"))</f>
        <v/>
      </c>
    </row>
    <row r="54" spans="6:6">
      <c r="F54" t="str">
        <f>IF(OR(A54="",B54="",E54=""),"",IF(COUNTIF('Student Marks'!$C$4:$V$4,A54)&gt;0,"OK","MISSING"))</f>
        <v/>
      </c>
    </row>
    <row r="55" spans="6:6">
      <c r="F55" t="str">
        <f>IF(OR(A55="",B55="",E55=""),"",IF(COUNTIF('Student Marks'!$C$4:$V$4,A55)&gt;0,"OK","MISSING"))</f>
        <v/>
      </c>
    </row>
    <row r="56" spans="6:6">
      <c r="F56" t="str">
        <f>IF(OR(A56="",B56="",E56=""),"",IF(COUNTIF('Student Marks'!$C$4:$V$4,A56)&gt;0,"OK","MISSING"))</f>
        <v/>
      </c>
    </row>
    <row r="57" spans="6:6">
      <c r="F57" t="str">
        <f>IF(OR(A57="",B57="",E57=""),"",IF(COUNTIF('Student Marks'!$C$4:$V$4,A57)&gt;0,"OK","MISSING"))</f>
        <v/>
      </c>
    </row>
    <row r="58" spans="6:6">
      <c r="F58" t="str">
        <f>IF(OR(A58="",B58="",E58=""),"",IF(COUNTIF('Student Marks'!$C$4:$V$4,A58)&gt;0,"OK","MISSING"))</f>
        <v/>
      </c>
    </row>
    <row r="59" spans="6:6">
      <c r="F59" t="str">
        <f>IF(OR(A59="",B59="",E59=""),"",IF(COUNTIF('Student Marks'!$C$4:$V$4,A59)&gt;0,"OK","MISSING"))</f>
        <v/>
      </c>
    </row>
    <row r="60" spans="6:6">
      <c r="F60" t="str">
        <f>IF(OR(A60="",B60="",E60=""),"",IF(COUNTIF('Student Marks'!$C$4:$V$4,A60)&gt;0,"OK","MISSING"))</f>
        <v/>
      </c>
    </row>
    <row r="61" spans="6:6">
      <c r="F61" t="str">
        <f>IF(OR(A61="",B61="",E61=""),"",IF(COUNTIF('Student Marks'!$C$4:$V$4,A61)&gt;0,"OK","MISSING"))</f>
        <v/>
      </c>
    </row>
    <row r="62" spans="6:6">
      <c r="F62" t="str">
        <f>IF(OR(A62="",B62="",E62=""),"",IF(COUNTIF('Student Marks'!$C$4:$V$4,A62)&gt;0,"OK","MISSING"))</f>
        <v/>
      </c>
    </row>
    <row r="63" spans="6:6">
      <c r="F63" t="str">
        <f>IF(OR(A63="",B63="",E63=""),"",IF(COUNTIF('Student Marks'!$C$4:$V$4,A63)&gt;0,"OK","MISSING"))</f>
        <v/>
      </c>
    </row>
    <row r="64" spans="6:6">
      <c r="F64" t="str">
        <f>IF(OR(A64="",B64="",E64=""),"",IF(COUNTIF('Student Marks'!$C$4:$V$4,A64)&gt;0,"OK","MISSING"))</f>
        <v/>
      </c>
    </row>
    <row r="65" spans="6:6">
      <c r="F65" t="str">
        <f>IF(OR(A65="",B65="",E65=""),"",IF(COUNTIF('Student Marks'!$C$4:$V$4,A65)&gt;0,"OK","MISSING"))</f>
        <v/>
      </c>
    </row>
    <row r="66" spans="6:6">
      <c r="F66" t="str">
        <f>IF(OR(A66="",B66="",E66=""),"",IF(COUNTIF('Student Marks'!$C$4:$V$4,A66)&gt;0,"OK","MISSING"))</f>
        <v/>
      </c>
    </row>
    <row r="67" spans="6:6">
      <c r="F67" t="str">
        <f>IF(OR(A67="",B67="",E67=""),"",IF(COUNTIF('Student Marks'!$C$4:$V$4,A67)&gt;0,"OK","MISSING"))</f>
        <v/>
      </c>
    </row>
    <row r="68" spans="6:6">
      <c r="F68" t="str">
        <f>IF(OR(A68="",B68="",E68=""),"",IF(COUNTIF('Student Marks'!$C$4:$V$4,A68)&gt;0,"OK","MISSING"))</f>
        <v/>
      </c>
    </row>
    <row r="69" spans="6:6">
      <c r="F69" t="str">
        <f>IF(OR(A69="",B69="",E69=""),"",IF(COUNTIF('Student Marks'!$C$4:$V$4,A69)&gt;0,"OK","MISSING"))</f>
        <v/>
      </c>
    </row>
    <row r="70" spans="6:6">
      <c r="F70" t="str">
        <f>IF(OR(A70="",B70="",E70=""),"",IF(COUNTIF('Student Marks'!$C$4:$V$4,A70)&gt;0,"OK","MISSING"))</f>
        <v/>
      </c>
    </row>
    <row r="71" spans="6:6">
      <c r="F71" t="str">
        <f>IF(OR(A71="",B71="",E71=""),"",IF(COUNTIF('Student Marks'!$C$4:$V$4,A71)&gt;0,"OK","MISSING"))</f>
        <v/>
      </c>
    </row>
    <row r="72" spans="6:6">
      <c r="F72" t="str">
        <f>IF(OR(A72="",B72="",E72=""),"",IF(COUNTIF('Student Marks'!$C$4:$V$4,A72)&gt;0,"OK","MISSING"))</f>
        <v/>
      </c>
    </row>
    <row r="73" spans="6:6">
      <c r="F73" t="str">
        <f>IF(OR(A73="",B73="",E73=""),"",IF(COUNTIF('Student Marks'!$C$4:$V$4,A73)&gt;0,"OK","MISSING"))</f>
        <v/>
      </c>
    </row>
    <row r="74" spans="6:6">
      <c r="F74" t="str">
        <f>IF(OR(A74="",B74="",E74=""),"",IF(COUNTIF('Student Marks'!$C$4:$V$4,A74)&gt;0,"OK","MISSING"))</f>
        <v/>
      </c>
    </row>
    <row r="75" spans="6:6">
      <c r="F75" t="str">
        <f>IF(OR(A75="",B75="",E75=""),"",IF(COUNTIF('Student Marks'!$C$4:$V$4,A75)&gt;0,"OK","MISSING"))</f>
        <v/>
      </c>
    </row>
    <row r="76" spans="6:6">
      <c r="F76" t="str">
        <f>IF(OR(A76="",B76="",E76=""),"",IF(COUNTIF('Student Marks'!$C$4:$V$4,A76)&gt;0,"OK","MISSING"))</f>
        <v/>
      </c>
    </row>
    <row r="77" spans="6:6">
      <c r="F77" t="str">
        <f>IF(OR(A77="",B77="",E77=""),"",IF(COUNTIF('Student Marks'!$C$4:$V$4,A77)&gt;0,"OK","MISSING"))</f>
        <v/>
      </c>
    </row>
    <row r="78" spans="6:6">
      <c r="F78" t="str">
        <f>IF(OR(A78="",B78="",E78=""),"",IF(COUNTIF('Student Marks'!$C$4:$V$4,A78)&gt;0,"OK","MISSING"))</f>
        <v/>
      </c>
    </row>
    <row r="79" spans="6:6">
      <c r="F79" t="str">
        <f>IF(OR(A79="",B79="",E79=""),"",IF(COUNTIF('Student Marks'!$C$4:$V$4,A79)&gt;0,"OK","MISSING"))</f>
        <v/>
      </c>
    </row>
    <row r="80" spans="6:6">
      <c r="F80" t="str">
        <f>IF(OR(A80="",B80="",E80=""),"",IF(COUNTIF('Student Marks'!$C$4:$V$4,A80)&gt;0,"OK","MISSING"))</f>
        <v/>
      </c>
    </row>
    <row r="81" spans="6:6">
      <c r="F81" t="str">
        <f>IF(OR(A81="",B81="",E81=""),"",IF(COUNTIF('Student Marks'!$C$4:$V$4,A81)&gt;0,"OK","MISSING"))</f>
        <v/>
      </c>
    </row>
    <row r="82" spans="6:6">
      <c r="F82" t="str">
        <f>IF(OR(A82="",B82="",E82=""),"",IF(COUNTIF('Student Marks'!$C$4:$V$4,A82)&gt;0,"OK","MISSING"))</f>
        <v/>
      </c>
    </row>
    <row r="83" spans="6:6">
      <c r="F83" t="str">
        <f>IF(OR(A83="",B83="",E83=""),"",IF(COUNTIF('Student Marks'!$C$4:$V$4,A83)&gt;0,"OK","MISSING"))</f>
        <v/>
      </c>
    </row>
    <row r="84" spans="6:6">
      <c r="F84" t="str">
        <f>IF(OR(A84="",B84="",E84=""),"",IF(COUNTIF('Student Marks'!$C$4:$V$4,A84)&gt;0,"OK","MISSING"))</f>
        <v/>
      </c>
    </row>
    <row r="85" spans="6:6">
      <c r="F85" t="str">
        <f>IF(OR(A85="",B85="",E85=""),"",IF(COUNTIF('Student Marks'!$C$4:$V$4,A85)&gt;0,"OK","MISSING"))</f>
        <v/>
      </c>
    </row>
    <row r="86" spans="6:6">
      <c r="F86" t="str">
        <f>IF(OR(A86="",B86="",E86=""),"",IF(COUNTIF('Student Marks'!$C$4:$V$4,A86)&gt;0,"OK","MISSING"))</f>
        <v/>
      </c>
    </row>
    <row r="87" spans="6:6">
      <c r="F87" t="str">
        <f>IF(OR(A87="",B87="",E87=""),"",IF(COUNTIF('Student Marks'!$C$4:$V$4,A87)&gt;0,"OK","MISSING"))</f>
        <v/>
      </c>
    </row>
    <row r="88" spans="6:6">
      <c r="F88" t="str">
        <f>IF(OR(A88="",B88="",E88=""),"",IF(COUNTIF('Student Marks'!$C$4:$V$4,A88)&gt;0,"OK","MISSING"))</f>
        <v/>
      </c>
    </row>
    <row r="89" spans="6:6">
      <c r="F89" t="str">
        <f>IF(OR(A89="",B89="",E89=""),"",IF(COUNTIF('Student Marks'!$C$4:$V$4,A89)&gt;0,"OK","MISSING"))</f>
        <v/>
      </c>
    </row>
    <row r="90" spans="6:6">
      <c r="F90" t="str">
        <f>IF(OR(A90="",B90="",E90=""),"",IF(COUNTIF('Student Marks'!$C$4:$V$4,A90)&gt;0,"OK","MISSING"))</f>
        <v/>
      </c>
    </row>
    <row r="91" spans="6:6">
      <c r="F91" t="str">
        <f>IF(OR(A91="",B91="",E91=""),"",IF(COUNTIF('Student Marks'!$C$4:$V$4,A91)&gt;0,"OK","MISSING"))</f>
        <v/>
      </c>
    </row>
    <row r="92" spans="6:6">
      <c r="F92" t="str">
        <f>IF(OR(A92="",B92="",E92=""),"",IF(COUNTIF('Student Marks'!$C$4:$V$4,A92)&gt;0,"OK","MISSING"))</f>
        <v/>
      </c>
    </row>
    <row r="93" spans="6:6">
      <c r="F93" t="str">
        <f>IF(OR(A93="",B93="",E93=""),"",IF(COUNTIF('Student Marks'!$C$4:$V$4,A93)&gt;0,"OK","MISSING"))</f>
        <v/>
      </c>
    </row>
    <row r="94" spans="6:6">
      <c r="F94" t="str">
        <f>IF(OR(A94="",B94="",E94=""),"",IF(COUNTIF('Student Marks'!$C$4:$V$4,A94)&gt;0,"OK","MISSING"))</f>
        <v/>
      </c>
    </row>
    <row r="95" spans="6:6">
      <c r="F95" t="str">
        <f>IF(OR(A95="",B95="",E95=""),"",IF(COUNTIF('Student Marks'!$C$4:$V$4,A95)&gt;0,"OK","MISSING"))</f>
        <v/>
      </c>
    </row>
    <row r="96" spans="6:6">
      <c r="F96" t="str">
        <f>IF(OR(A96="",B96="",E96=""),"",IF(COUNTIF('Student Marks'!$C$4:$V$4,A96)&gt;0,"OK","MISSING"))</f>
        <v/>
      </c>
    </row>
    <row r="97" spans="6:6">
      <c r="F97" t="str">
        <f>IF(OR(A97="",B97="",E97=""),"",IF(COUNTIF('Student Marks'!$C$4:$V$4,A97)&gt;0,"OK","MISSING"))</f>
        <v/>
      </c>
    </row>
    <row r="98" spans="6:6">
      <c r="F98" t="str">
        <f>IF(OR(A98="",B98="",E98=""),"",IF(COUNTIF('Student Marks'!$C$4:$V$4,A98)&gt;0,"OK","MISSING"))</f>
        <v/>
      </c>
    </row>
    <row r="99" spans="6:6">
      <c r="F99" t="str">
        <f>IF(OR(A99="",B99="",E99=""),"",IF(COUNTIF('Student Marks'!$C$4:$V$4,A99)&gt;0,"OK","MISSING"))</f>
        <v/>
      </c>
    </row>
    <row r="100" spans="6:6">
      <c r="F100" t="str">
        <f>IF(OR(A100="",B100="",E100=""),"",IF(COUNTIF('Student Marks'!$C$4:$V$4,A100)&gt;0,"OK","MISSING"))</f>
        <v/>
      </c>
    </row>
  </sheetData>
  <mergeCells count="2">
    <mergeCell ref="A13:E15"/>
    <mergeCell ref="A1:F1"/>
  </mergeCells>
  <conditionalFormatting sqref="F4:F200">
    <cfRule type="expression" dxfId="1" priority="1">
      <formula>F4="OK"</formula>
    </cfRule>
    <cfRule type="expression" dxfId="0" priority="2">
      <formula>F4="MISSING"</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Assessment Structure</vt:lpstr>
      <vt:lpstr>Student Marks</vt:lpstr>
      <vt:lpstr>Question-Chapter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NUR'AIN FARISYA</cp:lastModifiedBy>
  <dcterms:modified xsi:type="dcterms:W3CDTF">2026-08-17T16:02:37Z</dcterms:modified>
</cp:coreProperties>
</file>